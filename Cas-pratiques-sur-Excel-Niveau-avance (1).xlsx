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tables/table20.xml" ContentType="application/vnd.openxmlformats-officedocument.spreadsheetml.table+xml"/>
  <Override PartName="/xl/drawings/drawing3.xml" ContentType="application/vnd.openxmlformats-officedocument.drawing+xml"/>
  <Override PartName="/xl/tables/table21.xml" ContentType="application/vnd.openxmlformats-officedocument.spreadsheetml.table+xml"/>
  <Override PartName="/xl/slicers/slicer1.xml" ContentType="application/vnd.ms-excel.slicer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a06344\Downloads\Excel\"/>
    </mc:Choice>
  </mc:AlternateContent>
  <xr:revisionPtr revIDLastSave="0" documentId="13_ncr:1_{1FCFCF86-75BE-4184-A4E1-9133080CD367}" xr6:coauthVersionLast="47" xr6:coauthVersionMax="47" xr10:uidLastSave="{00000000-0000-0000-0000-000000000000}"/>
  <bookViews>
    <workbookView xWindow="22932" yWindow="-108" windowWidth="20376" windowHeight="12096" tabRatio="661" firstSheet="3" activeTab="3" xr2:uid="{00000000-000D-0000-FFFF-FFFF00000000}"/>
  </bookViews>
  <sheets>
    <sheet name="1.TCD avancé" sheetId="16" state="hidden" r:id="rId1"/>
    <sheet name="2.Créer des relations (TCD)" sheetId="25" state="hidden" r:id="rId2"/>
    <sheet name="3.RECHERCHEX dans Power Query" sheetId="31" state="hidden" r:id="rId3"/>
    <sheet name="1. Hiérarchiser données" sheetId="14" r:id="rId4"/>
    <sheet name="2. Recherche approximative" sheetId="9" r:id="rId5"/>
    <sheet name="5.Filtrer par tranches" sheetId="30" state="hidden" r:id="rId6"/>
    <sheet name="7.Lister nouvelles données" sheetId="26" state="hidden" r:id="rId7"/>
    <sheet name="3. Recherche imbriquée" sheetId="27" r:id="rId8"/>
    <sheet name="9.INDEX + EQUIVX (1)" sheetId="24" state="hidden" r:id="rId9"/>
    <sheet name="10.INDEX + EQUIVX (2)" sheetId="28" state="hidden" r:id="rId10"/>
    <sheet name="4. Supprimer lignes vides" sheetId="21" r:id="rId11"/>
    <sheet name="12.Lister données uniques" sheetId="7" state="hidden" r:id="rId12"/>
    <sheet name="5. Identifier les doublons" sheetId="5" r:id="rId13"/>
    <sheet name="14.Calculer des heures" sheetId="12" state="hidden" r:id="rId14"/>
    <sheet name="6. SOMMEPROD" sheetId="22" r:id="rId15"/>
    <sheet name="7. .Moyenne pondérée" sheetId="29" r:id="rId16"/>
    <sheet name="8. SOMME cumulée" sheetId="11" r:id="rId17"/>
    <sheet name="18.Calculer ce qui contient" sheetId="13" state="hidden" r:id="rId18"/>
    <sheet name="9. SI contient" sheetId="17" r:id="rId19"/>
    <sheet name="20.Créer une adresse mail" sheetId="6" state="hidden" r:id="rId20"/>
    <sheet name="21.Nettoyer les données" sheetId="10" state="hidden" r:id="rId21"/>
    <sheet name="22.Séparer chiffres et lettres" sheetId="23" state="hidden" r:id="rId22"/>
  </sheets>
  <definedNames>
    <definedName name="_xlcn.WorksheetConnection_21.Caspratiques1.xlsx_12.Liste_données_uniques1" hidden="1">_12.Liste_données_uniques[]</definedName>
    <definedName name="Segment_Doublon_?">#N/A</definedName>
  </definedNames>
  <calcPr calcId="191029"/>
  <pivotCaches>
    <pivotCache cacheId="0" r:id="rId23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4"/>
      </x15:slicerCach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_12 Liste_données_uniques" name="_12 Liste_données_uniques" connection="WorksheetConnection_21.Cas pratiques (1).xlsx!_12.Liste_données_unique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7" l="1"/>
  <c r="B8" i="17"/>
  <c r="B9" i="17"/>
  <c r="B10" i="17"/>
  <c r="B11" i="17"/>
  <c r="B12" i="17"/>
  <c r="B13" i="17"/>
  <c r="B14" i="17"/>
  <c r="B15" i="17"/>
  <c r="B16" i="17"/>
  <c r="B17" i="17"/>
  <c r="B18" i="17"/>
  <c r="B19" i="17"/>
  <c r="B20" i="17"/>
  <c r="B21" i="17"/>
  <c r="B22" i="17"/>
  <c r="B23" i="17"/>
  <c r="B24" i="17"/>
  <c r="B25" i="17"/>
  <c r="D7" i="17"/>
  <c r="D8" i="17"/>
  <c r="C7" i="11"/>
  <c r="C5" i="11"/>
  <c r="C6" i="11"/>
  <c r="C8" i="11"/>
  <c r="C9" i="11"/>
  <c r="C10" i="11"/>
  <c r="C11" i="11"/>
  <c r="C12" i="11"/>
  <c r="C13" i="11"/>
  <c r="C14" i="11"/>
  <c r="C15" i="11"/>
  <c r="C16" i="11"/>
  <c r="B5" i="29"/>
  <c r="C5" i="29"/>
  <c r="B5" i="22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F7" i="27"/>
  <c r="F8" i="27"/>
  <c r="F9" i="27"/>
  <c r="F10" i="27"/>
  <c r="F11" i="27"/>
  <c r="F12" i="27"/>
  <c r="F13" i="27"/>
  <c r="F14" i="27"/>
  <c r="F15" i="27"/>
  <c r="F16" i="27"/>
  <c r="F17" i="27"/>
  <c r="F18" i="27"/>
  <c r="F19" i="27"/>
  <c r="F20" i="27"/>
  <c r="F21" i="27"/>
  <c r="G7" i="27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E6" i="9"/>
  <c r="B6" i="12"/>
  <c r="C6" i="12"/>
  <c r="G6" i="26"/>
  <c r="D5" i="14"/>
  <c r="D5" i="11"/>
  <c r="D6" i="11"/>
  <c r="D7" i="11"/>
  <c r="D8" i="11"/>
  <c r="D9" i="11"/>
  <c r="D10" i="11"/>
  <c r="D11" i="11"/>
  <c r="D12" i="11"/>
  <c r="D13" i="11"/>
  <c r="D14" i="11"/>
  <c r="D15" i="11"/>
  <c r="D16" i="11"/>
  <c r="E46" i="5" l="1"/>
  <c r="E37" i="5"/>
  <c r="E21" i="5"/>
  <c r="E29" i="5"/>
  <c r="E45" i="5"/>
  <c r="E44" i="5"/>
  <c r="E28" i="5"/>
  <c r="E20" i="5"/>
  <c r="E36" i="5"/>
  <c r="E17" i="5"/>
  <c r="E16" i="5"/>
  <c r="E15" i="5"/>
  <c r="E38" i="5"/>
  <c r="E30" i="5"/>
  <c r="E22" i="5"/>
  <c r="E14" i="5"/>
  <c r="E19" i="5"/>
  <c r="E42" i="5"/>
  <c r="E18" i="5"/>
  <c r="E33" i="5"/>
  <c r="E47" i="5"/>
  <c r="E31" i="5"/>
  <c r="E25" i="5"/>
  <c r="E27" i="5"/>
  <c r="E34" i="5"/>
  <c r="E48" i="5"/>
  <c r="E40" i="5"/>
  <c r="E32" i="5"/>
  <c r="E24" i="5"/>
  <c r="E43" i="5"/>
  <c r="E50" i="5"/>
  <c r="E41" i="5"/>
  <c r="E39" i="5"/>
  <c r="E35" i="5"/>
  <c r="E26" i="5"/>
  <c r="E49" i="5"/>
  <c r="E23" i="5"/>
  <c r="G8" i="27"/>
  <c r="F8" i="28"/>
  <c r="F9" i="28"/>
  <c r="F10" i="28"/>
  <c r="F11" i="28"/>
  <c r="F12" i="28"/>
  <c r="F13" i="28"/>
  <c r="F14" i="28"/>
  <c r="F15" i="28"/>
  <c r="F16" i="28"/>
  <c r="F17" i="28"/>
  <c r="F18" i="28"/>
  <c r="F19" i="28"/>
  <c r="F20" i="28"/>
  <c r="F21" i="28"/>
  <c r="F22" i="28"/>
  <c r="F23" i="28"/>
  <c r="F24" i="28"/>
  <c r="F25" i="28"/>
  <c r="F26" i="28"/>
  <c r="F27" i="28"/>
  <c r="F28" i="28"/>
  <c r="F29" i="28"/>
  <c r="F30" i="28"/>
  <c r="F31" i="28"/>
  <c r="F32" i="28"/>
  <c r="F33" i="28"/>
  <c r="F34" i="28"/>
  <c r="F35" i="28"/>
  <c r="F36" i="28"/>
  <c r="F37" i="28"/>
  <c r="F38" i="28"/>
  <c r="F39" i="28"/>
  <c r="F40" i="28"/>
  <c r="F41" i="28"/>
  <c r="F42" i="28"/>
  <c r="F43" i="28"/>
  <c r="F44" i="28"/>
  <c r="F45" i="28"/>
  <c r="F46" i="28"/>
  <c r="F47" i="28"/>
  <c r="F48" i="28"/>
  <c r="F49" i="28"/>
  <c r="F50" i="28"/>
  <c r="F51" i="28"/>
  <c r="F52" i="28"/>
  <c r="F53" i="28"/>
  <c r="F54" i="28"/>
  <c r="F55" i="28"/>
  <c r="F56" i="28"/>
  <c r="F57" i="28"/>
  <c r="F58" i="28"/>
  <c r="F59" i="28"/>
  <c r="F60" i="28"/>
  <c r="F61" i="28"/>
  <c r="F62" i="28"/>
  <c r="F63" i="28"/>
  <c r="F64" i="28"/>
  <c r="F65" i="28"/>
  <c r="F66" i="28"/>
  <c r="F67" i="28"/>
  <c r="F68" i="28"/>
  <c r="F69" i="28"/>
  <c r="F70" i="28"/>
  <c r="F71" i="28"/>
  <c r="F72" i="28"/>
  <c r="F73" i="28"/>
  <c r="F74" i="28"/>
  <c r="F75" i="28"/>
  <c r="F76" i="28"/>
  <c r="F77" i="28"/>
  <c r="F78" i="28"/>
  <c r="F79" i="28"/>
  <c r="F80" i="28"/>
  <c r="F81" i="28"/>
  <c r="F82" i="28"/>
  <c r="F83" i="28"/>
  <c r="F84" i="28"/>
  <c r="F85" i="28"/>
  <c r="F86" i="28"/>
  <c r="F87" i="28"/>
  <c r="F88" i="28"/>
  <c r="F89" i="28"/>
  <c r="F90" i="28"/>
  <c r="F91" i="28"/>
  <c r="F92" i="28"/>
  <c r="F93" i="28"/>
  <c r="F94" i="28"/>
  <c r="F95" i="28"/>
  <c r="F96" i="28"/>
  <c r="F97" i="28"/>
  <c r="F98" i="28"/>
  <c r="F99" i="28"/>
  <c r="F100" i="28"/>
  <c r="F101" i="28"/>
  <c r="F102" i="28"/>
  <c r="F103" i="28"/>
  <c r="F104" i="28"/>
  <c r="F105" i="28"/>
  <c r="F106" i="28"/>
  <c r="F107" i="28"/>
  <c r="G17" i="27"/>
  <c r="G18" i="27"/>
  <c r="G19" i="27"/>
  <c r="G20" i="27"/>
  <c r="G21" i="27"/>
  <c r="G9" i="27"/>
  <c r="G10" i="27"/>
  <c r="G11" i="27"/>
  <c r="G12" i="27"/>
  <c r="G13" i="27"/>
  <c r="G14" i="27"/>
  <c r="G15" i="27"/>
  <c r="G16" i="27"/>
  <c r="E8" i="28" a="1"/>
  <c r="E8" i="28" s="1"/>
  <c r="E9" i="28" a="1"/>
  <c r="E9" i="28" s="1"/>
  <c r="E10" i="28" a="1"/>
  <c r="E10" i="28" s="1"/>
  <c r="E11" i="28" a="1"/>
  <c r="E11" i="28" s="1"/>
  <c r="E12" i="28" a="1"/>
  <c r="E12" i="28" s="1"/>
  <c r="E13" i="28" a="1"/>
  <c r="E13" i="28" s="1"/>
  <c r="E14" i="28" a="1"/>
  <c r="E14" i="28" s="1"/>
  <c r="E15" i="28" a="1"/>
  <c r="E15" i="28" s="1"/>
  <c r="E16" i="28" a="1"/>
  <c r="E16" i="28" s="1"/>
  <c r="E17" i="28" a="1"/>
  <c r="E17" i="28" s="1"/>
  <c r="E18" i="28" a="1"/>
  <c r="E18" i="28" s="1"/>
  <c r="E19" i="28" a="1"/>
  <c r="E19" i="28" s="1"/>
  <c r="E20" i="28" a="1"/>
  <c r="E20" i="28" s="1"/>
  <c r="E21" i="28" a="1"/>
  <c r="E21" i="28" s="1"/>
  <c r="E22" i="28" a="1"/>
  <c r="E22" i="28" s="1"/>
  <c r="E23" i="28" a="1"/>
  <c r="E23" i="28" s="1"/>
  <c r="E24" i="28" a="1"/>
  <c r="E24" i="28" s="1"/>
  <c r="E25" i="28" a="1"/>
  <c r="E25" i="28" s="1"/>
  <c r="E26" i="28" a="1"/>
  <c r="E26" i="28" s="1"/>
  <c r="E27" i="28" a="1"/>
  <c r="E27" i="28" s="1"/>
  <c r="E28" i="28" a="1"/>
  <c r="E28" i="28" s="1"/>
  <c r="E29" i="28" a="1"/>
  <c r="E29" i="28" s="1"/>
  <c r="E30" i="28" a="1"/>
  <c r="E30" i="28" s="1"/>
  <c r="E31" i="28" a="1"/>
  <c r="E31" i="28" s="1"/>
  <c r="E32" i="28" a="1"/>
  <c r="E32" i="28" s="1"/>
  <c r="E33" i="28" a="1"/>
  <c r="E33" i="28" s="1"/>
  <c r="E34" i="28" a="1"/>
  <c r="E34" i="28" s="1"/>
  <c r="E35" i="28" a="1"/>
  <c r="E35" i="28" s="1"/>
  <c r="E36" i="28" a="1"/>
  <c r="E36" i="28" s="1"/>
  <c r="E37" i="28" a="1"/>
  <c r="E37" i="28" s="1"/>
  <c r="E38" i="28" a="1"/>
  <c r="E38" i="28" s="1"/>
  <c r="E39" i="28" a="1"/>
  <c r="E39" i="28" s="1"/>
  <c r="E40" i="28" a="1"/>
  <c r="E40" i="28" s="1"/>
  <c r="E41" i="28" a="1"/>
  <c r="E41" i="28" s="1"/>
  <c r="E42" i="28" a="1"/>
  <c r="E42" i="28" s="1"/>
  <c r="E43" i="28" a="1"/>
  <c r="E43" i="28" s="1"/>
  <c r="E44" i="28" a="1"/>
  <c r="E44" i="28" s="1"/>
  <c r="E45" i="28" a="1"/>
  <c r="E45" i="28" s="1"/>
  <c r="E46" i="28" a="1"/>
  <c r="E46" i="28" s="1"/>
  <c r="E47" i="28" a="1"/>
  <c r="E47" i="28" s="1"/>
  <c r="E48" i="28" a="1"/>
  <c r="E48" i="28" s="1"/>
  <c r="E49" i="28" a="1"/>
  <c r="E49" i="28" s="1"/>
  <c r="E50" i="28" a="1"/>
  <c r="E50" i="28" s="1"/>
  <c r="E51" i="28" a="1"/>
  <c r="E51" i="28" s="1"/>
  <c r="E52" i="28" a="1"/>
  <c r="E52" i="28" s="1"/>
  <c r="E53" i="28" a="1"/>
  <c r="E53" i="28" s="1"/>
  <c r="E54" i="28" a="1"/>
  <c r="E54" i="28" s="1"/>
  <c r="E55" i="28" a="1"/>
  <c r="E55" i="28" s="1"/>
  <c r="E56" i="28" a="1"/>
  <c r="E56" i="28" s="1"/>
  <c r="E57" i="28" a="1"/>
  <c r="E57" i="28" s="1"/>
  <c r="E58" i="28" a="1"/>
  <c r="E58" i="28" s="1"/>
  <c r="E59" i="28" a="1"/>
  <c r="E59" i="28" s="1"/>
  <c r="E60" i="28" a="1"/>
  <c r="E60" i="28" s="1"/>
  <c r="E61" i="28" a="1"/>
  <c r="E61" i="28" s="1"/>
  <c r="E62" i="28" a="1"/>
  <c r="E62" i="28" s="1"/>
  <c r="E63" i="28" a="1"/>
  <c r="E63" i="28" s="1"/>
  <c r="E64" i="28" a="1"/>
  <c r="E64" i="28" s="1"/>
  <c r="E65" i="28" a="1"/>
  <c r="E65" i="28" s="1"/>
  <c r="E66" i="28" a="1"/>
  <c r="E66" i="28" s="1"/>
  <c r="E67" i="28" a="1"/>
  <c r="E67" i="28" s="1"/>
  <c r="E68" i="28" a="1"/>
  <c r="E68" i="28" s="1"/>
  <c r="E69" i="28" a="1"/>
  <c r="E69" i="28" s="1"/>
  <c r="E70" i="28" a="1"/>
  <c r="E70" i="28" s="1"/>
  <c r="E71" i="28" a="1"/>
  <c r="E71" i="28" s="1"/>
  <c r="E72" i="28" a="1"/>
  <c r="E72" i="28" s="1"/>
  <c r="E73" i="28" a="1"/>
  <c r="E73" i="28" s="1"/>
  <c r="E74" i="28" a="1"/>
  <c r="E74" i="28" s="1"/>
  <c r="E75" i="28" a="1"/>
  <c r="E75" i="28" s="1"/>
  <c r="E76" i="28" a="1"/>
  <c r="E76" i="28" s="1"/>
  <c r="E77" i="28" a="1"/>
  <c r="E77" i="28" s="1"/>
  <c r="E78" i="28" a="1"/>
  <c r="E78" i="28" s="1"/>
  <c r="E79" i="28" a="1"/>
  <c r="E79" i="28" s="1"/>
  <c r="E80" i="28" a="1"/>
  <c r="E80" i="28" s="1"/>
  <c r="E81" i="28" a="1"/>
  <c r="E81" i="28" s="1"/>
  <c r="E82" i="28" a="1"/>
  <c r="E82" i="28" s="1"/>
  <c r="E83" i="28" a="1"/>
  <c r="E83" i="28" s="1"/>
  <c r="E84" i="28" a="1"/>
  <c r="E84" i="28" s="1"/>
  <c r="E85" i="28" a="1"/>
  <c r="E85" i="28" s="1"/>
  <c r="E86" i="28" a="1"/>
  <c r="E86" i="28" s="1"/>
  <c r="E87" i="28" a="1"/>
  <c r="E87" i="28" s="1"/>
  <c r="E88" i="28" a="1"/>
  <c r="E88" i="28" s="1"/>
  <c r="E89" i="28" a="1"/>
  <c r="E89" i="28" s="1"/>
  <c r="E90" i="28" a="1"/>
  <c r="E90" i="28" s="1"/>
  <c r="E91" i="28" a="1"/>
  <c r="E91" i="28" s="1"/>
  <c r="E92" i="28" a="1"/>
  <c r="E92" i="28" s="1"/>
  <c r="E93" i="28" a="1"/>
  <c r="E93" i="28" s="1"/>
  <c r="E94" i="28" a="1"/>
  <c r="E94" i="28" s="1"/>
  <c r="E95" i="28" a="1"/>
  <c r="E95" i="28" s="1"/>
  <c r="E96" i="28" a="1"/>
  <c r="E96" i="28" s="1"/>
  <c r="E97" i="28" a="1"/>
  <c r="E97" i="28" s="1"/>
  <c r="E98" i="28" a="1"/>
  <c r="E98" i="28" s="1"/>
  <c r="E99" i="28" a="1"/>
  <c r="E99" i="28" s="1"/>
  <c r="E100" i="28" a="1"/>
  <c r="E100" i="28" s="1"/>
  <c r="E101" i="28" a="1"/>
  <c r="E101" i="28" s="1"/>
  <c r="E102" i="28" a="1"/>
  <c r="E102" i="28" s="1"/>
  <c r="E103" i="28" a="1"/>
  <c r="E103" i="28" s="1"/>
  <c r="E104" i="28" a="1"/>
  <c r="E104" i="28" s="1"/>
  <c r="E105" i="28" a="1"/>
  <c r="E105" i="28" s="1"/>
  <c r="E106" i="28" a="1"/>
  <c r="E106" i="28" s="1"/>
  <c r="E107" i="28" a="1"/>
  <c r="E107" i="28" s="1"/>
  <c r="E6" i="30"/>
  <c r="E7" i="30"/>
  <c r="E8" i="30"/>
  <c r="E9" i="30"/>
  <c r="E10" i="30"/>
  <c r="E11" i="30"/>
  <c r="E12" i="30"/>
  <c r="E13" i="30"/>
  <c r="E14" i="30"/>
  <c r="E15" i="30"/>
  <c r="E16" i="30"/>
  <c r="E17" i="30"/>
  <c r="E18" i="30"/>
  <c r="E19" i="30"/>
  <c r="E20" i="30"/>
  <c r="E21" i="30"/>
  <c r="E22" i="30"/>
  <c r="E23" i="30"/>
  <c r="E24" i="30"/>
  <c r="E25" i="30"/>
  <c r="E26" i="30"/>
  <c r="E27" i="30"/>
  <c r="E28" i="30"/>
  <c r="E29" i="30"/>
  <c r="E30" i="30"/>
  <c r="E31" i="30"/>
  <c r="E32" i="30"/>
  <c r="E33" i="30"/>
  <c r="E34" i="30"/>
  <c r="E35" i="30"/>
  <c r="E36" i="30"/>
  <c r="E37" i="30"/>
  <c r="E38" i="30"/>
  <c r="E39" i="30"/>
  <c r="E40" i="30"/>
  <c r="E41" i="30"/>
  <c r="E42" i="30"/>
  <c r="E43" i="30"/>
  <c r="E44" i="30"/>
  <c r="E45" i="30"/>
  <c r="E46" i="30"/>
  <c r="E47" i="30"/>
  <c r="E48" i="30"/>
  <c r="E49" i="30"/>
  <c r="E50" i="30"/>
  <c r="E51" i="30"/>
  <c r="E52" i="30"/>
  <c r="E53" i="30"/>
  <c r="E54" i="30"/>
  <c r="E55" i="30"/>
  <c r="E56" i="30"/>
  <c r="E57" i="30"/>
  <c r="E58" i="30"/>
  <c r="E59" i="30"/>
  <c r="E60" i="30"/>
  <c r="E61" i="30"/>
  <c r="E62" i="30"/>
  <c r="E63" i="30"/>
  <c r="E64" i="30"/>
  <c r="E65" i="30"/>
  <c r="E66" i="30"/>
  <c r="E67" i="30"/>
  <c r="E68" i="30"/>
  <c r="E69" i="30"/>
  <c r="E70" i="30"/>
  <c r="E71" i="30"/>
  <c r="E72" i="30"/>
  <c r="E73" i="30"/>
  <c r="E74" i="30"/>
  <c r="E75" i="30"/>
  <c r="E76" i="30"/>
  <c r="E77" i="30"/>
  <c r="E78" i="30"/>
  <c r="E79" i="30"/>
  <c r="E80" i="30"/>
  <c r="E81" i="30"/>
  <c r="E82" i="30"/>
  <c r="E83" i="30"/>
  <c r="E84" i="30"/>
  <c r="E85" i="30"/>
  <c r="E86" i="30"/>
  <c r="E87" i="30"/>
  <c r="E88" i="30"/>
  <c r="E89" i="30"/>
  <c r="E90" i="30"/>
  <c r="E91" i="30"/>
  <c r="E92" i="30"/>
  <c r="E93" i="30"/>
  <c r="E94" i="30"/>
  <c r="E95" i="30"/>
  <c r="E96" i="30"/>
  <c r="E97" i="30"/>
  <c r="E98" i="30"/>
  <c r="E99" i="30"/>
  <c r="E100" i="30"/>
  <c r="E101" i="30"/>
  <c r="E102" i="30"/>
  <c r="E103" i="30"/>
  <c r="E104" i="30"/>
  <c r="E105" i="30"/>
  <c r="D90" i="30"/>
  <c r="D93" i="30"/>
  <c r="D95" i="30"/>
  <c r="D101" i="30"/>
  <c r="D6" i="30"/>
  <c r="D9" i="30"/>
  <c r="D15" i="30"/>
  <c r="D17" i="30"/>
  <c r="D18" i="30"/>
  <c r="D22" i="30"/>
  <c r="D28" i="30"/>
  <c r="D30" i="30"/>
  <c r="D31" i="30"/>
  <c r="D33" i="30"/>
  <c r="D37" i="30"/>
  <c r="D40" i="30"/>
  <c r="D42" i="30"/>
  <c r="D43" i="30"/>
  <c r="D45" i="30"/>
  <c r="D47" i="30"/>
  <c r="D49" i="30"/>
  <c r="D53" i="30"/>
  <c r="D54" i="30"/>
  <c r="D56" i="30"/>
  <c r="D58" i="30"/>
  <c r="D62" i="30"/>
  <c r="D64" i="30"/>
  <c r="D66" i="30"/>
  <c r="D69" i="30"/>
  <c r="D73" i="30"/>
  <c r="D74" i="30"/>
  <c r="D76" i="30"/>
  <c r="D79" i="30"/>
  <c r="D80" i="30"/>
  <c r="D81" i="30"/>
  <c r="D82" i="30"/>
  <c r="D84" i="30"/>
  <c r="D85" i="30"/>
  <c r="D86" i="30"/>
  <c r="D87" i="30"/>
  <c r="D88" i="30"/>
  <c r="D89" i="30"/>
  <c r="D91" i="30"/>
  <c r="D92" i="30"/>
  <c r="D94" i="30"/>
  <c r="D96" i="30"/>
  <c r="D97" i="30"/>
  <c r="D98" i="30"/>
  <c r="D99" i="30"/>
  <c r="D100" i="30"/>
  <c r="D102" i="30"/>
  <c r="D103" i="30"/>
  <c r="D104" i="30"/>
  <c r="D105" i="30"/>
  <c r="D7" i="30"/>
  <c r="D8" i="30"/>
  <c r="D10" i="30"/>
  <c r="D11" i="30"/>
  <c r="D12" i="30"/>
  <c r="D13" i="30"/>
  <c r="D14" i="30"/>
  <c r="D16" i="30"/>
  <c r="D19" i="30"/>
  <c r="D20" i="30"/>
  <c r="D21" i="30"/>
  <c r="D23" i="30"/>
  <c r="D24" i="30"/>
  <c r="D25" i="30"/>
  <c r="D26" i="30"/>
  <c r="D27" i="30"/>
  <c r="D29" i="30"/>
  <c r="D32" i="30"/>
  <c r="D34" i="30"/>
  <c r="D35" i="30"/>
  <c r="D36" i="30"/>
  <c r="D38" i="30"/>
  <c r="D39" i="30"/>
  <c r="D41" i="30"/>
  <c r="D44" i="30"/>
  <c r="D46" i="30"/>
  <c r="D48" i="30"/>
  <c r="D50" i="30"/>
  <c r="D51" i="30"/>
  <c r="D52" i="30"/>
  <c r="D55" i="30"/>
  <c r="D57" i="30"/>
  <c r="D59" i="30"/>
  <c r="D60" i="30"/>
  <c r="D61" i="30"/>
  <c r="D63" i="30"/>
  <c r="D65" i="30"/>
  <c r="D67" i="30"/>
  <c r="D68" i="30"/>
  <c r="D70" i="30"/>
  <c r="D71" i="30"/>
  <c r="D72" i="30"/>
  <c r="D75" i="30"/>
  <c r="D77" i="30"/>
  <c r="D78" i="30"/>
  <c r="D83" i="30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7" i="17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G16" i="26"/>
  <c r="G26" i="26"/>
  <c r="G18" i="26"/>
  <c r="G11" i="26"/>
  <c r="G25" i="26"/>
  <c r="G22" i="26"/>
  <c r="G12" i="26"/>
  <c r="G21" i="26"/>
  <c r="G24" i="26"/>
  <c r="G8" i="26"/>
  <c r="G14" i="26"/>
  <c r="G27" i="26"/>
  <c r="G29" i="26"/>
  <c r="G9" i="26"/>
  <c r="G23" i="26"/>
  <c r="G19" i="26"/>
  <c r="G15" i="26"/>
  <c r="G13" i="26"/>
  <c r="G20" i="26"/>
  <c r="G28" i="26"/>
  <c r="G10" i="26"/>
  <c r="G17" i="26"/>
  <c r="G7" i="26"/>
  <c r="L6" i="26" l="1" a="1"/>
  <c r="L6" i="26" s="1"/>
  <c r="E7" i="24" a="1"/>
  <c r="E7" i="24" s="1"/>
  <c r="G7" i="24"/>
  <c r="N32" i="24" l="1"/>
  <c r="N31" i="24"/>
  <c r="N30" i="24"/>
  <c r="N29" i="24"/>
  <c r="N28" i="24"/>
  <c r="N27" i="24"/>
  <c r="N26" i="24"/>
  <c r="N25" i="24"/>
  <c r="N24" i="24"/>
  <c r="N23" i="24"/>
  <c r="N22" i="24"/>
  <c r="N21" i="24"/>
  <c r="N20" i="24"/>
  <c r="N19" i="24"/>
  <c r="N18" i="24"/>
  <c r="N17" i="24"/>
  <c r="N16" i="24"/>
  <c r="N15" i="24"/>
  <c r="N14" i="24"/>
  <c r="N13" i="24"/>
  <c r="N12" i="24"/>
  <c r="N11" i="24"/>
  <c r="N10" i="24"/>
  <c r="E8" i="17" l="1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D9" i="17"/>
  <c r="D10" i="17"/>
  <c r="D11" i="17"/>
  <c r="D12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C5" i="22"/>
  <c r="C8" i="22"/>
  <c r="C9" i="22"/>
  <c r="C10" i="22"/>
  <c r="C11" i="22"/>
  <c r="C12" i="22"/>
  <c r="C13" i="22"/>
  <c r="C14" i="22"/>
  <c r="C15" i="22"/>
  <c r="C16" i="22"/>
  <c r="C17" i="22"/>
  <c r="C18" i="22"/>
  <c r="C19" i="22"/>
  <c r="G50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D11" i="5" l="1"/>
  <c r="E11" i="5" s="1"/>
  <c r="G14" i="5"/>
  <c r="G46" i="5"/>
  <c r="G35" i="5"/>
  <c r="G25" i="5"/>
  <c r="G36" i="5"/>
  <c r="G43" i="5"/>
  <c r="G45" i="5"/>
  <c r="G37" i="5"/>
  <c r="G29" i="5"/>
  <c r="G21" i="5"/>
  <c r="G24" i="5"/>
  <c r="G44" i="5"/>
  <c r="G28" i="5"/>
  <c r="G19" i="5"/>
  <c r="G26" i="5"/>
  <c r="G49" i="5"/>
  <c r="G33" i="5"/>
  <c r="G20" i="5"/>
  <c r="G27" i="5"/>
  <c r="G42" i="5"/>
  <c r="G34" i="5"/>
  <c r="G18" i="5"/>
  <c r="G41" i="5"/>
  <c r="G17" i="5"/>
  <c r="G32" i="5"/>
  <c r="G23" i="5"/>
  <c r="G38" i="5"/>
  <c r="G48" i="5"/>
  <c r="G39" i="5"/>
  <c r="G40" i="5"/>
  <c r="G47" i="5"/>
  <c r="G30" i="5"/>
  <c r="G16" i="5"/>
  <c r="G15" i="5"/>
  <c r="G31" i="5"/>
  <c r="G22" i="5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6" i="6" l="1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65" i="13"/>
  <c r="I66" i="13"/>
  <c r="I67" i="13"/>
  <c r="I68" i="13"/>
  <c r="I69" i="13"/>
  <c r="I70" i="13"/>
  <c r="I71" i="13"/>
  <c r="I72" i="13"/>
  <c r="I73" i="13"/>
  <c r="I74" i="13"/>
  <c r="I75" i="13"/>
  <c r="I76" i="13"/>
  <c r="I77" i="13"/>
  <c r="I78" i="13"/>
  <c r="I79" i="13"/>
  <c r="I80" i="13"/>
  <c r="I81" i="13"/>
  <c r="I82" i="13"/>
  <c r="I83" i="13"/>
  <c r="I84" i="13"/>
  <c r="I85" i="13"/>
  <c r="I86" i="13"/>
  <c r="I87" i="13"/>
  <c r="I88" i="13"/>
  <c r="I89" i="13"/>
  <c r="I90" i="13"/>
  <c r="I91" i="13"/>
  <c r="I92" i="13"/>
  <c r="I93" i="13"/>
  <c r="I94" i="13"/>
  <c r="I95" i="13"/>
  <c r="I96" i="13"/>
  <c r="I97" i="13"/>
  <c r="I98" i="13"/>
  <c r="I99" i="13"/>
  <c r="I100" i="13"/>
  <c r="I101" i="13"/>
  <c r="I102" i="13"/>
  <c r="I103" i="13"/>
  <c r="I104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H14" i="13"/>
  <c r="J14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J31" i="13"/>
  <c r="J32" i="13"/>
  <c r="J33" i="13"/>
  <c r="J34" i="13"/>
  <c r="J35" i="13"/>
  <c r="J36" i="13"/>
  <c r="J37" i="13"/>
  <c r="J38" i="13"/>
  <c r="J39" i="13"/>
  <c r="J40" i="13"/>
  <c r="J41" i="13"/>
  <c r="J42" i="13"/>
  <c r="J43" i="13"/>
  <c r="J44" i="13"/>
  <c r="J45" i="13"/>
  <c r="J46" i="13"/>
  <c r="J47" i="13"/>
  <c r="J48" i="13"/>
  <c r="J49" i="13"/>
  <c r="J50" i="13"/>
  <c r="J51" i="13"/>
  <c r="J52" i="13"/>
  <c r="J53" i="13"/>
  <c r="J54" i="13"/>
  <c r="J55" i="13"/>
  <c r="J56" i="13"/>
  <c r="J57" i="13"/>
  <c r="J58" i="13"/>
  <c r="J59" i="13"/>
  <c r="J60" i="13"/>
  <c r="J61" i="13"/>
  <c r="J62" i="13"/>
  <c r="J63" i="13"/>
  <c r="J64" i="13"/>
  <c r="J65" i="13"/>
  <c r="J66" i="13"/>
  <c r="J67" i="13"/>
  <c r="J68" i="13"/>
  <c r="J69" i="13"/>
  <c r="J70" i="13"/>
  <c r="J71" i="13"/>
  <c r="J72" i="13"/>
  <c r="J73" i="13"/>
  <c r="J74" i="13"/>
  <c r="J75" i="13"/>
  <c r="J76" i="13"/>
  <c r="J77" i="13"/>
  <c r="J78" i="13"/>
  <c r="J79" i="13"/>
  <c r="J80" i="13"/>
  <c r="J81" i="13"/>
  <c r="J82" i="13"/>
  <c r="J83" i="13"/>
  <c r="J84" i="13"/>
  <c r="J85" i="13"/>
  <c r="J86" i="13"/>
  <c r="J87" i="13"/>
  <c r="J88" i="13"/>
  <c r="J89" i="13"/>
  <c r="J90" i="13"/>
  <c r="J91" i="13"/>
  <c r="J92" i="13"/>
  <c r="J93" i="13"/>
  <c r="J94" i="13"/>
  <c r="J95" i="13"/>
  <c r="J96" i="13"/>
  <c r="J97" i="13"/>
  <c r="J98" i="13"/>
  <c r="J99" i="13"/>
  <c r="J100" i="13"/>
  <c r="J101" i="13"/>
  <c r="J102" i="13"/>
  <c r="J103" i="13"/>
  <c r="J10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D14" i="13"/>
  <c r="D15" i="13"/>
  <c r="D16" i="13"/>
  <c r="F7" i="13" s="1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E9" i="12"/>
  <c r="E10" i="12"/>
  <c r="E11" i="12"/>
  <c r="E12" i="12"/>
  <c r="E13" i="12"/>
  <c r="C8" i="13" l="1"/>
  <c r="C7" i="13"/>
  <c r="C10" i="13"/>
  <c r="C9" i="13"/>
  <c r="C11" i="13"/>
  <c r="I7" i="10" l="1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F7" i="10" l="1"/>
  <c r="H7" i="10"/>
  <c r="J7" i="10" s="1"/>
  <c r="H8" i="10"/>
  <c r="J8" i="10" s="1"/>
  <c r="H9" i="10"/>
  <c r="J9" i="10" s="1"/>
  <c r="H10" i="10"/>
  <c r="J10" i="10" s="1"/>
  <c r="H11" i="10"/>
  <c r="J11" i="10" s="1"/>
  <c r="H12" i="10"/>
  <c r="J12" i="10" s="1"/>
  <c r="H13" i="10"/>
  <c r="J13" i="10" s="1"/>
  <c r="H14" i="10"/>
  <c r="J14" i="10" s="1"/>
  <c r="H15" i="10"/>
  <c r="J15" i="10" s="1"/>
  <c r="H16" i="10"/>
  <c r="J16" i="10" s="1"/>
  <c r="H17" i="10"/>
  <c r="J17" i="10" s="1"/>
  <c r="H18" i="10"/>
  <c r="J18" i="10" s="1"/>
  <c r="H19" i="10"/>
  <c r="J19" i="10" s="1"/>
  <c r="H20" i="10"/>
  <c r="J20" i="10" s="1"/>
  <c r="H21" i="10"/>
  <c r="J21" i="10" s="1"/>
  <c r="H22" i="10"/>
  <c r="J22" i="10" s="1"/>
  <c r="H23" i="10"/>
  <c r="J23" i="10" s="1"/>
  <c r="H24" i="10"/>
  <c r="J24" i="10" s="1"/>
  <c r="H25" i="10"/>
  <c r="J25" i="10" s="1"/>
  <c r="H26" i="10"/>
  <c r="J26" i="10" s="1"/>
  <c r="H27" i="10"/>
  <c r="J27" i="10" s="1"/>
  <c r="H28" i="10"/>
  <c r="J28" i="10" s="1"/>
  <c r="H29" i="10"/>
  <c r="J29" i="10" s="1"/>
  <c r="H30" i="10"/>
  <c r="J30" i="10" s="1"/>
  <c r="H31" i="10"/>
  <c r="J31" i="10" s="1"/>
  <c r="H32" i="10"/>
  <c r="J32" i="10" s="1"/>
  <c r="H33" i="10"/>
  <c r="J33" i="10" s="1"/>
  <c r="H34" i="10"/>
  <c r="J34" i="10" s="1"/>
  <c r="H35" i="10"/>
  <c r="J35" i="10" s="1"/>
  <c r="H36" i="10"/>
  <c r="J36" i="10" s="1"/>
  <c r="H37" i="10"/>
  <c r="J37" i="10" s="1"/>
  <c r="H38" i="10"/>
  <c r="J38" i="10" s="1"/>
  <c r="H39" i="10"/>
  <c r="J39" i="10" s="1"/>
  <c r="H40" i="10"/>
  <c r="J40" i="10" s="1"/>
  <c r="H41" i="10"/>
  <c r="J41" i="10" s="1"/>
  <c r="H42" i="10"/>
  <c r="J42" i="10" s="1"/>
  <c r="H43" i="10"/>
  <c r="J43" i="10" s="1"/>
  <c r="H44" i="10"/>
  <c r="J44" i="10" s="1"/>
  <c r="H45" i="10"/>
  <c r="J45" i="10" s="1"/>
  <c r="E7" i="10"/>
  <c r="G7" i="10" s="1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E8" i="10"/>
  <c r="G8" i="10" s="1"/>
  <c r="E9" i="10"/>
  <c r="E10" i="10"/>
  <c r="E11" i="10"/>
  <c r="G11" i="10" s="1"/>
  <c r="E12" i="10"/>
  <c r="G12" i="10" s="1"/>
  <c r="E13" i="10"/>
  <c r="E14" i="10"/>
  <c r="E15" i="10"/>
  <c r="E16" i="10"/>
  <c r="G16" i="10" s="1"/>
  <c r="E17" i="10"/>
  <c r="G17" i="10" s="1"/>
  <c r="E18" i="10"/>
  <c r="G18" i="10" s="1"/>
  <c r="E19" i="10"/>
  <c r="G19" i="10" s="1"/>
  <c r="E20" i="10"/>
  <c r="G20" i="10" s="1"/>
  <c r="E21" i="10"/>
  <c r="E22" i="10"/>
  <c r="E23" i="10"/>
  <c r="G23" i="10" s="1"/>
  <c r="E24" i="10"/>
  <c r="G24" i="10" s="1"/>
  <c r="E25" i="10"/>
  <c r="E26" i="10"/>
  <c r="E27" i="10"/>
  <c r="E28" i="10"/>
  <c r="G28" i="10" s="1"/>
  <c r="E29" i="10"/>
  <c r="G29" i="10" s="1"/>
  <c r="E30" i="10"/>
  <c r="G30" i="10" s="1"/>
  <c r="E31" i="10"/>
  <c r="G31" i="10" s="1"/>
  <c r="E32" i="10"/>
  <c r="G32" i="10" s="1"/>
  <c r="E33" i="10"/>
  <c r="E34" i="10"/>
  <c r="E35" i="10"/>
  <c r="G35" i="10" s="1"/>
  <c r="E36" i="10"/>
  <c r="G36" i="10" s="1"/>
  <c r="E37" i="10"/>
  <c r="E38" i="10"/>
  <c r="E39" i="10"/>
  <c r="E40" i="10"/>
  <c r="G40" i="10" s="1"/>
  <c r="E41" i="10"/>
  <c r="G41" i="10" s="1"/>
  <c r="E42" i="10"/>
  <c r="G42" i="10" s="1"/>
  <c r="E43" i="10"/>
  <c r="G43" i="10" s="1"/>
  <c r="E44" i="10"/>
  <c r="G44" i="10" s="1"/>
  <c r="E45" i="10"/>
  <c r="G34" i="10" l="1"/>
  <c r="G22" i="10"/>
  <c r="G10" i="10"/>
  <c r="G45" i="10"/>
  <c r="G33" i="10"/>
  <c r="G21" i="10"/>
  <c r="G9" i="10"/>
  <c r="G39" i="10"/>
  <c r="G27" i="10"/>
  <c r="G15" i="10"/>
  <c r="G38" i="10"/>
  <c r="G26" i="10"/>
  <c r="G14" i="10"/>
  <c r="G37" i="10"/>
  <c r="G25" i="10"/>
  <c r="G13" i="10"/>
  <c r="E9" i="7"/>
  <c r="E10" i="7"/>
  <c r="E11" i="7"/>
  <c r="E7" i="7"/>
  <c r="E12" i="7"/>
  <c r="E8" i="7"/>
  <c r="E36" i="7"/>
  <c r="E37" i="7"/>
  <c r="E38" i="7"/>
  <c r="E33" i="7"/>
  <c r="E45" i="7"/>
  <c r="E18" i="7"/>
  <c r="E19" i="7"/>
  <c r="E26" i="7"/>
  <c r="E20" i="7"/>
  <c r="E44" i="7"/>
  <c r="E27" i="7"/>
  <c r="E28" i="7"/>
  <c r="E34" i="7"/>
  <c r="E35" i="7"/>
  <c r="E39" i="7"/>
  <c r="E29" i="7"/>
  <c r="E40" i="7"/>
  <c r="E23" i="7"/>
  <c r="E41" i="7"/>
  <c r="E43" i="7"/>
  <c r="E30" i="7"/>
  <c r="E24" i="7"/>
  <c r="E25" i="7"/>
  <c r="E42" i="7"/>
  <c r="E31" i="7"/>
  <c r="E13" i="7"/>
  <c r="E15" i="7"/>
  <c r="E14" i="7"/>
  <c r="E16" i="7"/>
  <c r="E17" i="7"/>
  <c r="E21" i="7"/>
  <c r="E22" i="7"/>
  <c r="E3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EECBBE-60DE-4D6D-92A2-4FED3BD7A7FB}" keepAlive="1" name="ThisWorkbookDataModel" description="Modèle de donnée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9002CE9-1AA0-4EBE-8350-967F3D962667}" name="WorksheetConnection_21.Cas pratiques (1).xlsx!_12.Liste_données_uniques" type="102" refreshedVersion="8" minRefreshableVersion="5">
    <extLst>
      <ext xmlns:x15="http://schemas.microsoft.com/office/spreadsheetml/2010/11/main" uri="{DE250136-89BD-433C-8126-D09CA5730AF9}">
        <x15:connection id="_12 Liste_données_uniques" autoDelete="1">
          <x15:rangePr sourceName="_xlcn.WorksheetConnection_21.Caspratiques1.xlsx_12.Liste_données_uniqu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<sst xmlns="http://schemas.openxmlformats.org/spreadsheetml/2006/main" count="3012" uniqueCount="1165">
  <si>
    <t>Note</t>
  </si>
  <si>
    <t>Nom</t>
  </si>
  <si>
    <t>Prénom</t>
  </si>
  <si>
    <t>Mail</t>
  </si>
  <si>
    <t>Doublon ?</t>
  </si>
  <si>
    <t>Adémar</t>
  </si>
  <si>
    <t>OKARDETOUR</t>
  </si>
  <si>
    <t>Alban</t>
  </si>
  <si>
    <t>BOU</t>
  </si>
  <si>
    <t>Albert</t>
  </si>
  <si>
    <t>ICHON</t>
  </si>
  <si>
    <t>Ali</t>
  </si>
  <si>
    <t>GATORE</t>
  </si>
  <si>
    <t>Amanda</t>
  </si>
  <si>
    <t>BLE</t>
  </si>
  <si>
    <t>André</t>
  </si>
  <si>
    <t>NALINE</t>
  </si>
  <si>
    <t>Annie</t>
  </si>
  <si>
    <t>VERSAIRE</t>
  </si>
  <si>
    <t>Aurore</t>
  </si>
  <si>
    <t>POLAIRE</t>
  </si>
  <si>
    <t>Barbara</t>
  </si>
  <si>
    <t>DÉGOUT</t>
  </si>
  <si>
    <t>Bart</t>
  </si>
  <si>
    <t>HABA</t>
  </si>
  <si>
    <t>Bernadette</t>
  </si>
  <si>
    <t>DEJEU</t>
  </si>
  <si>
    <t>Berthe</t>
  </si>
  <si>
    <t>ALORS</t>
  </si>
  <si>
    <t>Bianca</t>
  </si>
  <si>
    <t>LAMINE</t>
  </si>
  <si>
    <t>Bill</t>
  </si>
  <si>
    <t>HATTÉRAHL</t>
  </si>
  <si>
    <t>Blanche</t>
  </si>
  <si>
    <t>ADÉSSIN</t>
  </si>
  <si>
    <t>Bob</t>
  </si>
  <si>
    <t>HO</t>
  </si>
  <si>
    <t>Bowie</t>
  </si>
  <si>
    <t>KENALUNDI</t>
  </si>
  <si>
    <t>Brice</t>
  </si>
  <si>
    <t>GLACE</t>
  </si>
  <si>
    <t>Cécile</t>
  </si>
  <si>
    <t>ENCIEUX</t>
  </si>
  <si>
    <t>Charles</t>
  </si>
  <si>
    <t>OTTOFRAISE</t>
  </si>
  <si>
    <t>Claire</t>
  </si>
  <si>
    <t>Colette</t>
  </si>
  <si>
    <t>STÉROLE</t>
  </si>
  <si>
    <t>Cyril</t>
  </si>
  <si>
    <t>HIQUE</t>
  </si>
  <si>
    <t>Daisy</t>
  </si>
  <si>
    <t>RABLE</t>
  </si>
  <si>
    <t>Dan</t>
  </si>
  <si>
    <t>DELION</t>
  </si>
  <si>
    <t>Danton</t>
  </si>
  <si>
    <t>CUMABITE</t>
  </si>
  <si>
    <t>Denis</t>
  </si>
  <si>
    <t>CHON</t>
  </si>
  <si>
    <t>Douglas</t>
  </si>
  <si>
    <t>Eddy</t>
  </si>
  <si>
    <t>SILLA</t>
  </si>
  <si>
    <t>Edmond</t>
  </si>
  <si>
    <t>GREC</t>
  </si>
  <si>
    <t>Ella</t>
  </si>
  <si>
    <t>BIENHU</t>
  </si>
  <si>
    <t>Fidel</t>
  </si>
  <si>
    <t>ASSONMEC</t>
  </si>
  <si>
    <t>Fidèle</t>
  </si>
  <si>
    <t>ANAMOURE</t>
  </si>
  <si>
    <t>Gaspard</t>
  </si>
  <si>
    <t>ALIZAN</t>
  </si>
  <si>
    <t>Gilles</t>
  </si>
  <si>
    <t>DESAUVETAGE</t>
  </si>
  <si>
    <t>Jennifer</t>
  </si>
  <si>
    <t>AREPASSÉ</t>
  </si>
  <si>
    <t>Martine</t>
  </si>
  <si>
    <t>DEPINBEURRÉ</t>
  </si>
  <si>
    <t>Michel</t>
  </si>
  <si>
    <t>DEMESSE</t>
  </si>
  <si>
    <t>Nadine</t>
  </si>
  <si>
    <t>AMO</t>
  </si>
  <si>
    <t>Correction</t>
  </si>
  <si>
    <t>OCHOCOLA</t>
  </si>
  <si>
    <t>b.adessin@gmail.com</t>
  </si>
  <si>
    <t>d.ochocola@gmail.com</t>
  </si>
  <si>
    <t>a.ichon@gmail.com</t>
  </si>
  <si>
    <t>a.versaire@gmail.com</t>
  </si>
  <si>
    <t>d.chon@gmail.com</t>
  </si>
  <si>
    <t>b.dejeu@gmail.com</t>
  </si>
  <si>
    <t>d.cumabite@gmail.com</t>
  </si>
  <si>
    <t>c.sterole@gmail.com</t>
  </si>
  <si>
    <t>b.haba@gmail.com</t>
  </si>
  <si>
    <t>b.kenalundi@gmail.com</t>
  </si>
  <si>
    <t>a.naline@gmail.com</t>
  </si>
  <si>
    <t>c.hique@gmail.com</t>
  </si>
  <si>
    <t>c.ottofraise@gmail.com</t>
  </si>
  <si>
    <t>b.glace@gmail.com</t>
  </si>
  <si>
    <t>e.silla@gmail.com</t>
  </si>
  <si>
    <t>b.degout@gmail.com</t>
  </si>
  <si>
    <t>a.gatore@gmail.com</t>
  </si>
  <si>
    <t>e.grec@gmail.com</t>
  </si>
  <si>
    <t>a.polaire@gmail.com</t>
  </si>
  <si>
    <t>b.ho@gmail.com</t>
  </si>
  <si>
    <t>g.alizan@gmail.com</t>
  </si>
  <si>
    <t>n.amo@gmail.com</t>
  </si>
  <si>
    <t>j.arepasse@gmail.com</t>
  </si>
  <si>
    <t>f.assonmec@gmail.com</t>
  </si>
  <si>
    <t>m.demesse@gmail.com</t>
  </si>
  <si>
    <t>m.depinbeurre@gmail.com</t>
  </si>
  <si>
    <t>Nom et prénom</t>
  </si>
  <si>
    <t>adessinb@gmail.com</t>
  </si>
  <si>
    <t>adessin57@gmail.com</t>
  </si>
  <si>
    <t>ochocoladouglas@gmail.com</t>
  </si>
  <si>
    <t>douglas.ochocola@gmail.com</t>
  </si>
  <si>
    <t>charles.ottofraise@gmail.com</t>
  </si>
  <si>
    <t>DELUNE</t>
  </si>
  <si>
    <t>c.delune@gmail.com</t>
  </si>
  <si>
    <t>b.haba@outlook.fr</t>
  </si>
  <si>
    <t>ottofraise.charles@yahoo.fr</t>
  </si>
  <si>
    <t>demesse.m@outlook.fr</t>
  </si>
  <si>
    <t>bobho@gmail.com</t>
  </si>
  <si>
    <t>hobob@outlook.fr</t>
  </si>
  <si>
    <t>b.haba@yahoo.fr</t>
  </si>
  <si>
    <t>brice.glace@gmail.com</t>
  </si>
  <si>
    <t>Bérangère</t>
  </si>
  <si>
    <t>berangere.adessin@gmail.com</t>
  </si>
  <si>
    <t>arepasse.jennifer@outlook.fr</t>
  </si>
  <si>
    <t>aj75000.pro@outlook.fr</t>
  </si>
  <si>
    <t>ho.bob99@outlook.fr</t>
  </si>
  <si>
    <t>ochocoladouglas@outlook.fr</t>
  </si>
  <si>
    <t>doug.pro@gmail.com</t>
  </si>
  <si>
    <t>doug.pro@outlook.fr</t>
  </si>
  <si>
    <t>Consignes</t>
  </si>
  <si>
    <t>Note / 20</t>
  </si>
  <si>
    <t>Appréciation</t>
  </si>
  <si>
    <t>Très bien</t>
  </si>
  <si>
    <t>Bien</t>
  </si>
  <si>
    <t>Assez bien</t>
  </si>
  <si>
    <t>Admis</t>
  </si>
  <si>
    <t>Rattrapage</t>
  </si>
  <si>
    <t>Refusé</t>
  </si>
  <si>
    <t>Vide</t>
  </si>
  <si>
    <t>Absent</t>
  </si>
  <si>
    <t>ADÉSSIN/Bérangère Laurence Martine</t>
  </si>
  <si>
    <t>ADÉSSIN/Blanche Bérangère MME</t>
  </si>
  <si>
    <t>ADÉSSIN/Blanche MME</t>
  </si>
  <si>
    <t>ADÉSSIN/Blanche</t>
  </si>
  <si>
    <t>ALIZAN/Gaspard</t>
  </si>
  <si>
    <t>DEJEU/Bernadette</t>
  </si>
  <si>
    <t>DEMESSE/Michel</t>
  </si>
  <si>
    <t>GREC/Edmond</t>
  </si>
  <si>
    <t>HO/Bob</t>
  </si>
  <si>
    <t>OCHOCOLA/Douglas</t>
  </si>
  <si>
    <t>OTTOFRAISE/Charles</t>
  </si>
  <si>
    <t>SILLA/Eddy</t>
  </si>
  <si>
    <t>ADÉSSIN/Bérangère</t>
  </si>
  <si>
    <t>ADÉSSIN/Blanche Bérangère</t>
  </si>
  <si>
    <t>Nom et 1er prénom</t>
  </si>
  <si>
    <t>AMO/Nadine Lucie</t>
  </si>
  <si>
    <t>DEMESSE/Michel M.</t>
  </si>
  <si>
    <t>AREPASSÉ/Jennifer Laura Pascale</t>
  </si>
  <si>
    <t>AREPASSÉ/Jennifer MME</t>
  </si>
  <si>
    <t>AREPASSÉ/Jennifer MME Laura Pascale</t>
  </si>
  <si>
    <t>ALIZAN/Gaspard Monsieur</t>
  </si>
  <si>
    <t>DELUNE/Claire Madame</t>
  </si>
  <si>
    <t>GLACE/Brice Nicolas M.</t>
  </si>
  <si>
    <t>GLACE/Brice Nicolas</t>
  </si>
  <si>
    <t>HABA/Bart Monsieur</t>
  </si>
  <si>
    <t>HABA/Bart Bernard Maurice</t>
  </si>
  <si>
    <t>HABA/Bart Bernard Maurice M.</t>
  </si>
  <si>
    <t>HO/Bob Claude Monsieur</t>
  </si>
  <si>
    <t>HO/Bob M.</t>
  </si>
  <si>
    <t>HO/Bob Claude</t>
  </si>
  <si>
    <t>OCHOCOLA/Douglas Enrico Alberto</t>
  </si>
  <si>
    <t>OCHOCOLA/Douglas M.</t>
  </si>
  <si>
    <t>OCHOCOLA/Douglas Monsieur</t>
  </si>
  <si>
    <t>OTTOFRAISE/Charles MONSIEUR</t>
  </si>
  <si>
    <t>OTTOFRAISE/Charles Lucien Quentin</t>
  </si>
  <si>
    <t>POLAIRE/Aurore MADAME</t>
  </si>
  <si>
    <t>STÉROLE/Colette Martine</t>
  </si>
  <si>
    <t>VERSAIRE/Annie Laure Louna</t>
  </si>
  <si>
    <t>Extraction</t>
  </si>
  <si>
    <t>1er prénom</t>
  </si>
  <si>
    <t>Correction
Nom</t>
  </si>
  <si>
    <t>Correction
Prénom</t>
  </si>
  <si>
    <t>Correction
Nom et 1er prénom</t>
  </si>
  <si>
    <t>Janvier</t>
  </si>
  <si>
    <t>Mois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</si>
  <si>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</si>
  <si>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</si>
  <si>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</si>
  <si>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</si>
  <si>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</si>
  <si>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</si>
  <si>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</si>
  <si>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</si>
  <si>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</si>
  <si>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</si>
  <si>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</si>
  <si>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Chiffre d'affaires</t>
  </si>
  <si>
    <t>Somme cumulée</t>
  </si>
  <si>
    <t>Heures travaillées</t>
  </si>
  <si>
    <t>Lundi</t>
  </si>
  <si>
    <t>Mardi</t>
  </si>
  <si>
    <t>Mercredi</t>
  </si>
  <si>
    <t>Jeudi</t>
  </si>
  <si>
    <t>Vendredi</t>
  </si>
  <si>
    <t>Taux horaire</t>
  </si>
  <si>
    <t>Montant facturé</t>
  </si>
  <si>
    <t>Tee-shirt</t>
  </si>
  <si>
    <t>Pull</t>
  </si>
  <si>
    <t>Gilet</t>
  </si>
  <si>
    <t>Manteau</t>
  </si>
  <si>
    <t>Sous-pull</t>
  </si>
  <si>
    <t>Produit vendu</t>
  </si>
  <si>
    <t>Produit</t>
  </si>
  <si>
    <t>Quantité vendue</t>
  </si>
  <si>
    <t>Prix unitaire</t>
  </si>
  <si>
    <t>CA HT</t>
  </si>
  <si>
    <t>Extraire la taille</t>
  </si>
  <si>
    <t>Correction
Extraire le produit</t>
  </si>
  <si>
    <t>Correction
Extraire la taille</t>
  </si>
  <si>
    <t>Extraire le produit</t>
  </si>
  <si>
    <t>Tee-shirt-L</t>
  </si>
  <si>
    <t>Pull-XL</t>
  </si>
  <si>
    <t>Tee-shirt-XS</t>
  </si>
  <si>
    <t>Manteau-S</t>
  </si>
  <si>
    <t>Pull-XS</t>
  </si>
  <si>
    <t>Gilet-M</t>
  </si>
  <si>
    <t>Gilet-S</t>
  </si>
  <si>
    <t>Gilet-L</t>
  </si>
  <si>
    <t>Pull-M</t>
  </si>
  <si>
    <t>Manteau-XL</t>
  </si>
  <si>
    <t>Tee-shirt-M</t>
  </si>
  <si>
    <t>Tee-shirt-S</t>
  </si>
  <si>
    <t>Gilet-XS</t>
  </si>
  <si>
    <t>Pull-S</t>
  </si>
  <si>
    <t>Gilet-XL</t>
  </si>
  <si>
    <t>Manteau-M</t>
  </si>
  <si>
    <t>Pull-L</t>
  </si>
  <si>
    <t>Tee-shirt-XL</t>
  </si>
  <si>
    <t>Manteau-L</t>
  </si>
  <si>
    <t>Manteau-XS</t>
  </si>
  <si>
    <t>Hoodie-S</t>
  </si>
  <si>
    <t>Hoodie-XS</t>
  </si>
  <si>
    <t>Hoodie-XL</t>
  </si>
  <si>
    <t>Hoodie-M</t>
  </si>
  <si>
    <t>Hoodie-L</t>
  </si>
  <si>
    <t>Clef USB</t>
  </si>
  <si>
    <t>Adaptateur</t>
  </si>
  <si>
    <t>Webcam</t>
  </si>
  <si>
    <t>Clavier</t>
  </si>
  <si>
    <t>Chargeur</t>
  </si>
  <si>
    <t>Souris</t>
  </si>
  <si>
    <t>Ordinateur</t>
  </si>
  <si>
    <t>Logiciel</t>
  </si>
  <si>
    <t>Écran</t>
  </si>
  <si>
    <t>Disque dur</t>
  </si>
  <si>
    <t>Correction
RECHERCHEX</t>
  </si>
  <si>
    <t>Calculer une somme cumulée du chiffre d'affaires sur l'année.</t>
  </si>
  <si>
    <t>Date</t>
  </si>
  <si>
    <t>Marge</t>
  </si>
  <si>
    <t>Q vendue</t>
  </si>
  <si>
    <t>Uniquement pour RECHERCHEX</t>
  </si>
  <si>
    <t>Ne pas oublier de remplacer les é par e.</t>
  </si>
  <si>
    <t>Créer une adresse mail pour chaque personne en respectant la syntaxe suivante : "b.adessin@gmail.com" (pour ADÉSSIN Blanche).</t>
  </si>
  <si>
    <t>Adresse mail</t>
  </si>
  <si>
    <t>JOINDRE.TEXTE</t>
  </si>
  <si>
    <t>Correction
JOINDRE.TEXTE</t>
  </si>
  <si>
    <t>Correction
Doublon ?</t>
  </si>
  <si>
    <t>1. On considère qu'un doublon est une ligne pour laquelle le nom, le prénom et le mail sont les mêmes.</t>
  </si>
  <si>
    <t>2. Dans la colonne "Doublon ?", afficher "Doublon" si la ligne est un doublon, sinon afficher "Valeur unique".</t>
  </si>
  <si>
    <t>3. Filtrer les doublons grâce à un segment (le mettre au-dessus du tableau).</t>
  </si>
  <si>
    <t>4. Mettre en couleur les doublons de manière automatique.</t>
  </si>
  <si>
    <t>Exercice</t>
  </si>
  <si>
    <t>Nombre de doublons</t>
  </si>
  <si>
    <t>Nombre de valeurs uniques</t>
  </si>
  <si>
    <t>5. Compter le nombre total de de valeurs uniques (cellule D10) et de doublons (cellule E10).</t>
  </si>
  <si>
    <t>1. Combiner le nom et le prénom.</t>
  </si>
  <si>
    <t>La correction est en dessous du tableau.</t>
  </si>
  <si>
    <t>2. Lister la liste des mails uniques pour chaque personne.</t>
  </si>
  <si>
    <t>2. Extraire le 1er prénom (créer une formule pour qu'elle fonctionne pour toute la colonne).</t>
  </si>
  <si>
    <t>1. Extraire le nom.</t>
  </si>
  <si>
    <t>3. Combiner le nom et le prénom.</t>
  </si>
  <si>
    <t>Reproduire le tableau croisé dynamique présenté à droite.</t>
  </si>
  <si>
    <t>1. Calculer le "Montant facturé" dans le tableau à partir des heures travaillées et du taux horaire.</t>
  </si>
  <si>
    <t>Jour</t>
  </si>
  <si>
    <t>Supprimer les lignes vides dans le tableau.</t>
  </si>
  <si>
    <t>Valide ?</t>
  </si>
  <si>
    <t>Commentaire</t>
  </si>
  <si>
    <t>Devis non envoyé</t>
  </si>
  <si>
    <t>Facture à éditer</t>
  </si>
  <si>
    <t>Devis 300067066</t>
  </si>
  <si>
    <t>Factures 300067330-300067331</t>
  </si>
  <si>
    <t>Paiement 100067090</t>
  </si>
  <si>
    <t>Référence e6557030602601603</t>
  </si>
  <si>
    <t>À contrôler 0456290</t>
  </si>
  <si>
    <t>À contrôler</t>
  </si>
  <si>
    <t>Rebut ?</t>
  </si>
  <si>
    <t>Acompte 300067136</t>
  </si>
  <si>
    <t>Solde 10008945662</t>
  </si>
  <si>
    <t>Infos à compléter</t>
  </si>
  <si>
    <t>Facture 25635419995</t>
  </si>
  <si>
    <t>À modifier</t>
  </si>
  <si>
    <t>Correction 1 - CHERCHE
Valide ?</t>
  </si>
  <si>
    <t>Correction 2 - NB.SI.ENS
Valide ?</t>
  </si>
  <si>
    <t>Utiliser CHERCHE ou NB.SI.ENS dans la fonction SI.</t>
  </si>
  <si>
    <t>Quantité</t>
  </si>
  <si>
    <t>Contrôle</t>
  </si>
  <si>
    <t>Calculer le total du chiffre d'affaires grâce à la fonction SOMMEPROD.</t>
  </si>
  <si>
    <t>1A</t>
  </si>
  <si>
    <t>236ABC</t>
  </si>
  <si>
    <t>100B</t>
  </si>
  <si>
    <t>1000C</t>
  </si>
  <si>
    <t>15AB</t>
  </si>
  <si>
    <t>153AC</t>
  </si>
  <si>
    <t>2BC</t>
  </si>
  <si>
    <t>23ABC</t>
  </si>
  <si>
    <t>0300C</t>
  </si>
  <si>
    <t>5230BCD</t>
  </si>
  <si>
    <t>9002A</t>
  </si>
  <si>
    <t>607B</t>
  </si>
  <si>
    <t>519ABCD</t>
  </si>
  <si>
    <t>287CD</t>
  </si>
  <si>
    <t>671E</t>
  </si>
  <si>
    <t>3520AA</t>
  </si>
  <si>
    <t>524BB</t>
  </si>
  <si>
    <t>718CC</t>
  </si>
  <si>
    <t>415ABCA</t>
  </si>
  <si>
    <t>700AAA</t>
  </si>
  <si>
    <t>100067315</t>
  </si>
  <si>
    <t>905462</t>
  </si>
  <si>
    <t>100100100</t>
  </si>
  <si>
    <t>700100090</t>
  </si>
  <si>
    <t>300067317</t>
  </si>
  <si>
    <t>Données converties en texte</t>
  </si>
  <si>
    <t>Excel &lt; 2021
Extraire le produit</t>
  </si>
  <si>
    <t>Excel &lt; 2021
Extraire la taille</t>
  </si>
  <si>
    <t>Total CA HT
SOMME.SI.ENS</t>
  </si>
  <si>
    <t>Total CA HT
BDSOMME</t>
  </si>
  <si>
    <t>*XS</t>
  </si>
  <si>
    <t>1. Cellules B7 à B11 : calculer le CA HT généré par chaque produit grâce à la fonction SOMME.SI.ENS.</t>
  </si>
  <si>
    <t>2. Cellule E7 : calculer le CA HT généré par les produits vendus qui se terminent par XS grâce à la fonction BDSOMME.</t>
  </si>
  <si>
    <t>3. Séparer le nom du produit de la taille vendue  dans la base de données (attention au "Tee-shirt").</t>
  </si>
  <si>
    <t>Client</t>
  </si>
  <si>
    <t>Total mensuel du client</t>
  </si>
  <si>
    <t>Amazon</t>
  </si>
  <si>
    <t>Vinci</t>
  </si>
  <si>
    <t>Total</t>
  </si>
  <si>
    <t>Apple</t>
  </si>
  <si>
    <t>Binance</t>
  </si>
  <si>
    <t>Carrefour</t>
  </si>
  <si>
    <t>Danone</t>
  </si>
  <si>
    <t>EDF</t>
  </si>
  <si>
    <t>Google</t>
  </si>
  <si>
    <t>Hermès</t>
  </si>
  <si>
    <t>Imerys</t>
  </si>
  <si>
    <t>LVMH</t>
  </si>
  <si>
    <t>McDonald's</t>
  </si>
  <si>
    <t>Meta</t>
  </si>
  <si>
    <t>Microsoft</t>
  </si>
  <si>
    <t>Netflix</t>
  </si>
  <si>
    <t>Orange</t>
  </si>
  <si>
    <t>Pernod Ricard</t>
  </si>
  <si>
    <t>Renault</t>
  </si>
  <si>
    <t>Saint-Gobain</t>
  </si>
  <si>
    <t>Sanofi</t>
  </si>
  <si>
    <t>Twitter</t>
  </si>
  <si>
    <t>Veolia</t>
  </si>
  <si>
    <t>Air Liquide</t>
  </si>
  <si>
    <t>Correction
Excel &lt; 2021</t>
  </si>
  <si>
    <t>La fonction INDEX permet de renvoyer une donnée située au croisement d'un n° de ligne et de colonne.</t>
  </si>
  <si>
    <t>La fonction EQUIVX permet de renvoyer la position d'une valeur parmi d'autres valeurs, donc elle permet d'autmatiser le n° de ligne et de colonne à renvoyer.</t>
  </si>
  <si>
    <t>Trouver le montant mensuel corespond au client et au mois à sélectionner dans la liste.</t>
  </si>
  <si>
    <t>Coût total</t>
  </si>
  <si>
    <t>Paris</t>
  </si>
  <si>
    <t>Lyon</t>
  </si>
  <si>
    <t>Marseille</t>
  </si>
  <si>
    <t>Madrid</t>
  </si>
  <si>
    <t>Londres</t>
  </si>
  <si>
    <t>Berlin</t>
  </si>
  <si>
    <t>Tokyo</t>
  </si>
  <si>
    <t>Barcelone</t>
  </si>
  <si>
    <t>Kyoto</t>
  </si>
  <si>
    <t>Osaka</t>
  </si>
  <si>
    <t>Hambourg</t>
  </si>
  <si>
    <t>Munich</t>
  </si>
  <si>
    <t>Séville</t>
  </si>
  <si>
    <t>Miami</t>
  </si>
  <si>
    <t>Oxford</t>
  </si>
  <si>
    <t>Liverpool</t>
  </si>
  <si>
    <t>New-York</t>
  </si>
  <si>
    <t>Los Angeles</t>
  </si>
  <si>
    <t>France</t>
  </si>
  <si>
    <t>Espagne</t>
  </si>
  <si>
    <t>Angleterre</t>
  </si>
  <si>
    <t>Allemagne</t>
  </si>
  <si>
    <t>Japon</t>
  </si>
  <si>
    <t>États-Unis</t>
  </si>
  <si>
    <t>Ville</t>
  </si>
  <si>
    <t>Pays</t>
  </si>
  <si>
    <t>Cette fonctionnalité est utile pour éviter d'insérer les pays dans une nouvelle colonne du tableau.</t>
  </si>
  <si>
    <t>Projet</t>
  </si>
  <si>
    <t>PROJ-1</t>
  </si>
  <si>
    <t>PROJ-2</t>
  </si>
  <si>
    <t>PROJ-3</t>
  </si>
  <si>
    <t>PROJ-4</t>
  </si>
  <si>
    <t>PROJ-5</t>
  </si>
  <si>
    <t>PROJ-6</t>
  </si>
  <si>
    <t>PROJ-7</t>
  </si>
  <si>
    <t>PROJ-8</t>
  </si>
  <si>
    <t>PROJ-9</t>
  </si>
  <si>
    <t>PROJ-11</t>
  </si>
  <si>
    <t>PROJ-12</t>
  </si>
  <si>
    <t>PROJ-13</t>
  </si>
  <si>
    <t>PROJ-14</t>
  </si>
  <si>
    <t>PROJ-15</t>
  </si>
  <si>
    <t>PROJ-16</t>
  </si>
  <si>
    <t>PROJ-17</t>
  </si>
  <si>
    <t>PROJ-18</t>
  </si>
  <si>
    <t>PROJ-19</t>
  </si>
  <si>
    <t>PROJ-21</t>
  </si>
  <si>
    <t>PROJ-22</t>
  </si>
  <si>
    <t>PROJ-23</t>
  </si>
  <si>
    <t>PROJ-24</t>
  </si>
  <si>
    <t>PROJ-25</t>
  </si>
  <si>
    <t>PROJ-26</t>
  </si>
  <si>
    <t>PROJ-27</t>
  </si>
  <si>
    <t>PROJ-28</t>
  </si>
  <si>
    <t>PROJ-29</t>
  </si>
  <si>
    <t>PROJ-31</t>
  </si>
  <si>
    <t>PROJ-32</t>
  </si>
  <si>
    <t>PROJ-33</t>
  </si>
  <si>
    <t>PROJ-34</t>
  </si>
  <si>
    <t>PROJ-35</t>
  </si>
  <si>
    <t>PROJ-36</t>
  </si>
  <si>
    <t>PROJ-37</t>
  </si>
  <si>
    <t>PROJ-38</t>
  </si>
  <si>
    <t>PROJ-39</t>
  </si>
  <si>
    <t>PROJ-41</t>
  </si>
  <si>
    <t>PROJ-42</t>
  </si>
  <si>
    <t>PROJ-43</t>
  </si>
  <si>
    <t>PROJ-44</t>
  </si>
  <si>
    <t>PROJ-45</t>
  </si>
  <si>
    <t>PROJ-46</t>
  </si>
  <si>
    <t>PROJ-47</t>
  </si>
  <si>
    <t>PROJ-48</t>
  </si>
  <si>
    <t>PROJ-49</t>
  </si>
  <si>
    <t>PROJ-51</t>
  </si>
  <si>
    <t>PROJ-52</t>
  </si>
  <si>
    <t>PROJ-53</t>
  </si>
  <si>
    <t>PROJ-54</t>
  </si>
  <si>
    <t>PROJ-55</t>
  </si>
  <si>
    <t>PROJ-56</t>
  </si>
  <si>
    <t>PROJ-57</t>
  </si>
  <si>
    <t>PROJ-58</t>
  </si>
  <si>
    <t>PROJ-59</t>
  </si>
  <si>
    <t>PROJ-61</t>
  </si>
  <si>
    <t>PROJ-62</t>
  </si>
  <si>
    <t>PROJ-63</t>
  </si>
  <si>
    <t>PROJ-64</t>
  </si>
  <si>
    <t>PROJ-65</t>
  </si>
  <si>
    <t>PROJ-66</t>
  </si>
  <si>
    <t>PROJ-67</t>
  </si>
  <si>
    <t>PROJ-68</t>
  </si>
  <si>
    <t>PROJ-69</t>
  </si>
  <si>
    <t>PROJ-71</t>
  </si>
  <si>
    <t>PROJ-72</t>
  </si>
  <si>
    <t>PROJ-73</t>
  </si>
  <si>
    <t>PROJ-74</t>
  </si>
  <si>
    <t>PROJ-75</t>
  </si>
  <si>
    <t>PROJ-76</t>
  </si>
  <si>
    <t>PROJ-77</t>
  </si>
  <si>
    <t>PROJ-78</t>
  </si>
  <si>
    <t>PROJ-79</t>
  </si>
  <si>
    <t>PROJ-81</t>
  </si>
  <si>
    <t>PROJ-82</t>
  </si>
  <si>
    <t>PROJ-83</t>
  </si>
  <si>
    <t>PROJ-84</t>
  </si>
  <si>
    <t>PROJ-85</t>
  </si>
  <si>
    <t>PROJ-86</t>
  </si>
  <si>
    <t>PROJ-87</t>
  </si>
  <si>
    <t>PROJ-88</t>
  </si>
  <si>
    <t>PROJ-89</t>
  </si>
  <si>
    <t>PROJ-91</t>
  </si>
  <si>
    <t>PROJ-92</t>
  </si>
  <si>
    <t>PROJ-93</t>
  </si>
  <si>
    <t>PROJ-94</t>
  </si>
  <si>
    <t>PROJ-95</t>
  </si>
  <si>
    <t>PROJ-96</t>
  </si>
  <si>
    <t>PROJ-97</t>
  </si>
  <si>
    <t>PROJ-98</t>
  </si>
  <si>
    <t>PROJ-99</t>
  </si>
  <si>
    <t>PROJ-111</t>
  </si>
  <si>
    <t>PROJ-112</t>
  </si>
  <si>
    <t>PROJ-113</t>
  </si>
  <si>
    <t>PROJ-114</t>
  </si>
  <si>
    <t>PROJ-115</t>
  </si>
  <si>
    <t>PROJ-116</t>
  </si>
  <si>
    <t>PROJ-117</t>
  </si>
  <si>
    <t>PROJ-118</t>
  </si>
  <si>
    <t>PROJ-119</t>
  </si>
  <si>
    <t>PROJ-121</t>
  </si>
  <si>
    <t>PROJ-122</t>
  </si>
  <si>
    <t>PROJ-123</t>
  </si>
  <si>
    <t>PROJ-124</t>
  </si>
  <si>
    <t>PROJ-125</t>
  </si>
  <si>
    <t>PROJ-126</t>
  </si>
  <si>
    <t>PROJ-127</t>
  </si>
  <si>
    <t>PROJ-128</t>
  </si>
  <si>
    <t>PROJ-129</t>
  </si>
  <si>
    <t>PROJ-131</t>
  </si>
  <si>
    <t>PROJ-132</t>
  </si>
  <si>
    <t>PROJ-133</t>
  </si>
  <si>
    <t>PROJ-134</t>
  </si>
  <si>
    <t>PROJ-135</t>
  </si>
  <si>
    <t>PROJ-136</t>
  </si>
  <si>
    <t>PROJ-137</t>
  </si>
  <si>
    <t>PROJ-138</t>
  </si>
  <si>
    <t>PROJ-139</t>
  </si>
  <si>
    <t>PROJ-141</t>
  </si>
  <si>
    <t>PROJ-142</t>
  </si>
  <si>
    <t>PROJ-143</t>
  </si>
  <si>
    <t>PROJ-144</t>
  </si>
  <si>
    <t>PROJ-145</t>
  </si>
  <si>
    <t>PROJ-146</t>
  </si>
  <si>
    <t>PROJ-147</t>
  </si>
  <si>
    <t>PROJ-148</t>
  </si>
  <si>
    <t>PROJ-149</t>
  </si>
  <si>
    <t>PROJ-151</t>
  </si>
  <si>
    <t>PROJ-152</t>
  </si>
  <si>
    <t>PROJ-153</t>
  </si>
  <si>
    <t>PROJ-154</t>
  </si>
  <si>
    <t>PROJ-155</t>
  </si>
  <si>
    <t>PROJ-156</t>
  </si>
  <si>
    <t>PROJ-157</t>
  </si>
  <si>
    <t>PROJ-158</t>
  </si>
  <si>
    <t>PROJ-159</t>
  </si>
  <si>
    <t>PROJ-161</t>
  </si>
  <si>
    <t>PROJ-162</t>
  </si>
  <si>
    <t>PROJ-163</t>
  </si>
  <si>
    <t>PROJ-164</t>
  </si>
  <si>
    <t>PROJ-165</t>
  </si>
  <si>
    <t>PROJ-166</t>
  </si>
  <si>
    <t>PROJ-167</t>
  </si>
  <si>
    <t>PROJ-168</t>
  </si>
  <si>
    <t>PROJ-169</t>
  </si>
  <si>
    <t>PROJ-171</t>
  </si>
  <si>
    <t>PROJ-172</t>
  </si>
  <si>
    <t>PROJ-173</t>
  </si>
  <si>
    <t>PROJ-174</t>
  </si>
  <si>
    <t>PROJ-175</t>
  </si>
  <si>
    <t>PROJ-176</t>
  </si>
  <si>
    <t>PROJ-177</t>
  </si>
  <si>
    <t>PROJ-178</t>
  </si>
  <si>
    <t>PROJ-179</t>
  </si>
  <si>
    <t>PROJ-181</t>
  </si>
  <si>
    <t>PROJ-182</t>
  </si>
  <si>
    <t>PROJ-183</t>
  </si>
  <si>
    <t>PROJ-184</t>
  </si>
  <si>
    <t>PROJ-185</t>
  </si>
  <si>
    <t>PROJ-186</t>
  </si>
  <si>
    <t>PROJ-187</t>
  </si>
  <si>
    <t>PROJ-188</t>
  </si>
  <si>
    <t>PROJ-189</t>
  </si>
  <si>
    <t>PROJ-191</t>
  </si>
  <si>
    <t>PROJ-192</t>
  </si>
  <si>
    <t>PROJ-193</t>
  </si>
  <si>
    <t>PROJ-194</t>
  </si>
  <si>
    <t>PROJ-195</t>
  </si>
  <si>
    <t>PROJ-196</t>
  </si>
  <si>
    <t>PROJ-197</t>
  </si>
  <si>
    <t>PROJ-198</t>
  </si>
  <si>
    <t>PROJ-199</t>
  </si>
  <si>
    <t>PROJ-211</t>
  </si>
  <si>
    <t>PROJ-212</t>
  </si>
  <si>
    <t>PROJ-213</t>
  </si>
  <si>
    <t>PROJ-214</t>
  </si>
  <si>
    <t>PROJ-215</t>
  </si>
  <si>
    <t>PROJ-216</t>
  </si>
  <si>
    <t>PROJ-217</t>
  </si>
  <si>
    <t>PROJ-218</t>
  </si>
  <si>
    <t>PROJ-219</t>
  </si>
  <si>
    <t>PROJ-221</t>
  </si>
  <si>
    <t>PROJ-222</t>
  </si>
  <si>
    <t>PROJ-223</t>
  </si>
  <si>
    <t>PROJ-224</t>
  </si>
  <si>
    <t>PROJ-225</t>
  </si>
  <si>
    <t>PROJ-226</t>
  </si>
  <si>
    <t>PROJ-227</t>
  </si>
  <si>
    <t>PROJ-228</t>
  </si>
  <si>
    <t>PROJ-229</t>
  </si>
  <si>
    <t>PROJ-231</t>
  </si>
  <si>
    <t>PROJ-232</t>
  </si>
  <si>
    <t>PROJ-233</t>
  </si>
  <si>
    <t>PROJ-234</t>
  </si>
  <si>
    <t>PROJ-235</t>
  </si>
  <si>
    <t>PROJ-236</t>
  </si>
  <si>
    <t>PROJ-237</t>
  </si>
  <si>
    <t>PROJ-238</t>
  </si>
  <si>
    <t>PROJ-239</t>
  </si>
  <si>
    <t>PROJ-241</t>
  </si>
  <si>
    <t>PROJ-242</t>
  </si>
  <si>
    <t>PROJ-243</t>
  </si>
  <si>
    <t>PROJ-244</t>
  </si>
  <si>
    <t>PROJ-245</t>
  </si>
  <si>
    <t>PROJ-246</t>
  </si>
  <si>
    <t>PROJ-247</t>
  </si>
  <si>
    <t>PROJ-248</t>
  </si>
  <si>
    <t>PROJ-249</t>
  </si>
  <si>
    <t>PROJ-251</t>
  </si>
  <si>
    <t>PROJ-252</t>
  </si>
  <si>
    <t>PROJ-253</t>
  </si>
  <si>
    <t>PROJ-254</t>
  </si>
  <si>
    <t>PROJ-255</t>
  </si>
  <si>
    <t>PROJ-256</t>
  </si>
  <si>
    <t>PROJ-257</t>
  </si>
  <si>
    <t>PROJ-258</t>
  </si>
  <si>
    <t>PROJ-259</t>
  </si>
  <si>
    <t>PROJ-261</t>
  </si>
  <si>
    <t>PROJ-262</t>
  </si>
  <si>
    <t>PROJ-263</t>
  </si>
  <si>
    <t>PROJ-264</t>
  </si>
  <si>
    <t>PROJ-265</t>
  </si>
  <si>
    <t>PROJ-266</t>
  </si>
  <si>
    <t>PROJ-267</t>
  </si>
  <si>
    <t>PROJ-268</t>
  </si>
  <si>
    <t>PROJ-269</t>
  </si>
  <si>
    <t>PROJ-271</t>
  </si>
  <si>
    <t>PROJ-272</t>
  </si>
  <si>
    <t>PROJ-273</t>
  </si>
  <si>
    <t>PROJ-274</t>
  </si>
  <si>
    <t>PROJ-275</t>
  </si>
  <si>
    <t>PROJ-276</t>
  </si>
  <si>
    <t>PROJ-277</t>
  </si>
  <si>
    <t>PROJ-278</t>
  </si>
  <si>
    <t>PROJ-279</t>
  </si>
  <si>
    <t>PROJ-281</t>
  </si>
  <si>
    <t>PROJ-282</t>
  </si>
  <si>
    <t>PROJ-283</t>
  </si>
  <si>
    <t>PROJ-284</t>
  </si>
  <si>
    <t>PROJ-285</t>
  </si>
  <si>
    <t>PROJ-286</t>
  </si>
  <si>
    <t>PROJ-287</t>
  </si>
  <si>
    <t>PROJ-288</t>
  </si>
  <si>
    <t>PROJ-289</t>
  </si>
  <si>
    <t>PROJ-291</t>
  </si>
  <si>
    <t>PROJ-292</t>
  </si>
  <si>
    <t>PROJ-293</t>
  </si>
  <si>
    <t>PROJ-294</t>
  </si>
  <si>
    <t>PROJ-295</t>
  </si>
  <si>
    <t>PROJ-296</t>
  </si>
  <si>
    <t>PROJ-297</t>
  </si>
  <si>
    <t>PROJ-298</t>
  </si>
  <si>
    <t>PROJ-299</t>
  </si>
  <si>
    <t>N° article</t>
  </si>
  <si>
    <t>Libellé</t>
  </si>
  <si>
    <t>A0001</t>
  </si>
  <si>
    <t>A0017</t>
  </si>
  <si>
    <t>A0002</t>
  </si>
  <si>
    <t>Pantalon</t>
  </si>
  <si>
    <t>A0003</t>
  </si>
  <si>
    <t>Chaussures</t>
  </si>
  <si>
    <t>A0009</t>
  </si>
  <si>
    <t>A0004</t>
  </si>
  <si>
    <t>A0010</t>
  </si>
  <si>
    <t>A0005</t>
  </si>
  <si>
    <t>Short</t>
  </si>
  <si>
    <t>A0011</t>
  </si>
  <si>
    <t>A0006</t>
  </si>
  <si>
    <t>Casquette</t>
  </si>
  <si>
    <t>A0012</t>
  </si>
  <si>
    <t>A0007</t>
  </si>
  <si>
    <t>Console de jeux</t>
  </si>
  <si>
    <t>A0008</t>
  </si>
  <si>
    <t>Télévision</t>
  </si>
  <si>
    <t>Téléphone</t>
  </si>
  <si>
    <t>Festival</t>
  </si>
  <si>
    <t>Bonnet</t>
  </si>
  <si>
    <t>Chaussettes</t>
  </si>
  <si>
    <t>A0013</t>
  </si>
  <si>
    <t>A0014</t>
  </si>
  <si>
    <t>Batterie</t>
  </si>
  <si>
    <t>A0015</t>
  </si>
  <si>
    <t>Aspirateur</t>
  </si>
  <si>
    <t>A0016</t>
  </si>
  <si>
    <t>Assiettes</t>
  </si>
  <si>
    <t>Couverts</t>
  </si>
  <si>
    <t>A0018</t>
  </si>
  <si>
    <t>Verres</t>
  </si>
  <si>
    <t>A0019</t>
  </si>
  <si>
    <t>Bouteille de vin</t>
  </si>
  <si>
    <t>A0020</t>
  </si>
  <si>
    <t>Casseroles</t>
  </si>
  <si>
    <t>A0021</t>
  </si>
  <si>
    <t>A0030</t>
  </si>
  <si>
    <t>A0022</t>
  </si>
  <si>
    <t>Jean</t>
  </si>
  <si>
    <t>A0023</t>
  </si>
  <si>
    <t>Costume</t>
  </si>
  <si>
    <t>A0024</t>
  </si>
  <si>
    <t>Chemise</t>
  </si>
  <si>
    <t>A0025</t>
  </si>
  <si>
    <t>A0026</t>
  </si>
  <si>
    <t>Veste</t>
  </si>
  <si>
    <t>A0027</t>
  </si>
  <si>
    <t>A0028</t>
  </si>
  <si>
    <t>Écouteur</t>
  </si>
  <si>
    <t>A0029</t>
  </si>
  <si>
    <t>Canapé</t>
  </si>
  <si>
    <t>Voiture</t>
  </si>
  <si>
    <t>Lister les nouveaux articles et les trier par n° article croissant</t>
  </si>
  <si>
    <t>Nouvel article ?</t>
  </si>
  <si>
    <t>Correction
Nouvel article ?</t>
  </si>
  <si>
    <t>Excel &lt; 2021
Nouvel article ?</t>
  </si>
  <si>
    <t>Tarif 2030</t>
  </si>
  <si>
    <t>Tarif 2031</t>
  </si>
  <si>
    <t>Tarif appliqué</t>
  </si>
  <si>
    <t>Correction
Tarif appliqué</t>
  </si>
  <si>
    <t>Excel &lt; 2021
Nom et 1er prénom</t>
  </si>
  <si>
    <t>Excel &lt; 2021
Prénom</t>
  </si>
  <si>
    <t>Excel &lt; 2021
Nom</t>
  </si>
  <si>
    <t>PROJ-10</t>
  </si>
  <si>
    <t>PROJ-20</t>
  </si>
  <si>
    <t>PROJ-30</t>
  </si>
  <si>
    <t>PROJ-40</t>
  </si>
  <si>
    <t>PROJ-50</t>
  </si>
  <si>
    <t>PROJ-60</t>
  </si>
  <si>
    <t>PROJ-70</t>
  </si>
  <si>
    <t>PROJ-80</t>
  </si>
  <si>
    <t>PROJ-90</t>
  </si>
  <si>
    <t>PROJ-100</t>
  </si>
  <si>
    <t>PROJ-101</t>
  </si>
  <si>
    <t>PROJ-102</t>
  </si>
  <si>
    <t>PROJ-103</t>
  </si>
  <si>
    <t>PROJ-104</t>
  </si>
  <si>
    <t>PROJ-105</t>
  </si>
  <si>
    <t>PROJ-106</t>
  </si>
  <si>
    <t>PROJ-107</t>
  </si>
  <si>
    <t>PROJ-108</t>
  </si>
  <si>
    <t>PROJ-109</t>
  </si>
  <si>
    <t>PROJ-110</t>
  </si>
  <si>
    <t>PROJ-120</t>
  </si>
  <si>
    <t>PROJ-130</t>
  </si>
  <si>
    <t>PROJ-140</t>
  </si>
  <si>
    <t>PROJ-150</t>
  </si>
  <si>
    <t>PROJ-160</t>
  </si>
  <si>
    <t>PROJ-170</t>
  </si>
  <si>
    <t>PROJ-180</t>
  </si>
  <si>
    <t>PROJ-190</t>
  </si>
  <si>
    <t>PROJ-200</t>
  </si>
  <si>
    <t>PROJ-201</t>
  </si>
  <si>
    <t>PROJ-202</t>
  </si>
  <si>
    <t>PROJ-203</t>
  </si>
  <si>
    <t>PROJ-204</t>
  </si>
  <si>
    <t>PROJ-205</t>
  </si>
  <si>
    <t>PROJ-206</t>
  </si>
  <si>
    <t>PROJ-207</t>
  </si>
  <si>
    <t>PROJ-208</t>
  </si>
  <si>
    <t>PROJ-209</t>
  </si>
  <si>
    <t>PROJ-210</t>
  </si>
  <si>
    <t>PROJ-220</t>
  </si>
  <si>
    <t>PROJ-230</t>
  </si>
  <si>
    <t>PROJ-240</t>
  </si>
  <si>
    <t>PROJ-250</t>
  </si>
  <si>
    <t>PROJ-260</t>
  </si>
  <si>
    <t>PROJ-270</t>
  </si>
  <si>
    <t>PROJ-280</t>
  </si>
  <si>
    <t>PROJ-290</t>
  </si>
  <si>
    <t>PROJ-300</t>
  </si>
  <si>
    <t>Dans la colonne "JOINDRE.TEXTE", utiliser la fonction JOINDRE.TEXTE pour assembler le nom, le prénom et le mail en les séparant d'un " - " (afficher rien si une donnée n'est pas renseignée).</t>
  </si>
  <si>
    <t>Matière</t>
  </si>
  <si>
    <t>Coefficient</t>
  </si>
  <si>
    <t>Mathématiques</t>
  </si>
  <si>
    <t>Français</t>
  </si>
  <si>
    <t>Sciences</t>
  </si>
  <si>
    <t>Physique</t>
  </si>
  <si>
    <t>Technologie</t>
  </si>
  <si>
    <t>Sport</t>
  </si>
  <si>
    <t>Histoire</t>
  </si>
  <si>
    <t>Géographie</t>
  </si>
  <si>
    <t>Économie</t>
  </si>
  <si>
    <t>Musique</t>
  </si>
  <si>
    <t>Calculer la moyenne pondérée de l'élève.</t>
  </si>
  <si>
    <t>1. Colonne "Nouvel article ?" : renvoyer "Nouvel article" si le n° article n'existe pas dans la base de données, sinon renvoie le libellé déjà existant.</t>
  </si>
  <si>
    <t>2. Calculer le "Total des heures travaillées" (attention au format "Heure" sur Excel !).</t>
  </si>
  <si>
    <t>2. Cellule J6 : Lister toutes les nouveaux articles grâce à la fonction FILTRE, puis les trier par n° article croissant grâce à la fonction TRIER.</t>
  </si>
  <si>
    <t>Non commencé</t>
  </si>
  <si>
    <t>En cours</t>
  </si>
  <si>
    <t>Facturé</t>
  </si>
  <si>
    <t>Payé</t>
  </si>
  <si>
    <t>Étape</t>
  </si>
  <si>
    <t>Chantier</t>
  </si>
  <si>
    <t>CHA-1</t>
  </si>
  <si>
    <t>CHA-2</t>
  </si>
  <si>
    <t>CHA-3</t>
  </si>
  <si>
    <t>CHA-4</t>
  </si>
  <si>
    <t>CHA-5</t>
  </si>
  <si>
    <t>CHA-6</t>
  </si>
  <si>
    <t>CHA-7</t>
  </si>
  <si>
    <t>CHA-8</t>
  </si>
  <si>
    <t>CHA-9</t>
  </si>
  <si>
    <t>CHA-10</t>
  </si>
  <si>
    <t>CHA-11</t>
  </si>
  <si>
    <t>CHA-12</t>
  </si>
  <si>
    <t>CHA-13</t>
  </si>
  <si>
    <t>CHA-14</t>
  </si>
  <si>
    <t>CHA-15</t>
  </si>
  <si>
    <t>CHA-16</t>
  </si>
  <si>
    <t>CHA-17</t>
  </si>
  <si>
    <t>CHA-18</t>
  </si>
  <si>
    <t>CHA-19</t>
  </si>
  <si>
    <t>CHA-20</t>
  </si>
  <si>
    <t>CHA-21</t>
  </si>
  <si>
    <t>CHA-22</t>
  </si>
  <si>
    <t>CHA-23</t>
  </si>
  <si>
    <t>CHA-24</t>
  </si>
  <si>
    <t>CHA-25</t>
  </si>
  <si>
    <t>CHA-26</t>
  </si>
  <si>
    <t>CHA-27</t>
  </si>
  <si>
    <t>CHA-28</t>
  </si>
  <si>
    <t>CHA-29</t>
  </si>
  <si>
    <t>CHA-30</t>
  </si>
  <si>
    <t>CHA-31</t>
  </si>
  <si>
    <t>CHA-32</t>
  </si>
  <si>
    <t>CHA-33</t>
  </si>
  <si>
    <t>CHA-34</t>
  </si>
  <si>
    <t>CHA-35</t>
  </si>
  <si>
    <t>CHA-36</t>
  </si>
  <si>
    <t>CHA-37</t>
  </si>
  <si>
    <t>CHA-38</t>
  </si>
  <si>
    <t>CHA-39</t>
  </si>
  <si>
    <t>CHA-40</t>
  </si>
  <si>
    <t>CHA-41</t>
  </si>
  <si>
    <t>CHA-42</t>
  </si>
  <si>
    <t>CHA-43</t>
  </si>
  <si>
    <t>CHA-44</t>
  </si>
  <si>
    <t>CHA-45</t>
  </si>
  <si>
    <t>CHA-46</t>
  </si>
  <si>
    <t>CHA-47</t>
  </si>
  <si>
    <t>CHA-48</t>
  </si>
  <si>
    <t>CHA-49</t>
  </si>
  <si>
    <t>CHA-50</t>
  </si>
  <si>
    <t>CHA-51</t>
  </si>
  <si>
    <t>CHA-52</t>
  </si>
  <si>
    <t>CHA-53</t>
  </si>
  <si>
    <t>CHA-54</t>
  </si>
  <si>
    <t>CHA-55</t>
  </si>
  <si>
    <t>CHA-56</t>
  </si>
  <si>
    <t>CHA-57</t>
  </si>
  <si>
    <t>CHA-58</t>
  </si>
  <si>
    <t>CHA-59</t>
  </si>
  <si>
    <t>CHA-60</t>
  </si>
  <si>
    <t>CHA-61</t>
  </si>
  <si>
    <t>CHA-62</t>
  </si>
  <si>
    <t>CHA-63</t>
  </si>
  <si>
    <t>CHA-64</t>
  </si>
  <si>
    <t>CHA-65</t>
  </si>
  <si>
    <t>CHA-66</t>
  </si>
  <si>
    <t>CHA-67</t>
  </si>
  <si>
    <t>CHA-68</t>
  </si>
  <si>
    <t>CHA-69</t>
  </si>
  <si>
    <t>CHA-70</t>
  </si>
  <si>
    <t>CHA-71</t>
  </si>
  <si>
    <t>CHA-72</t>
  </si>
  <si>
    <t>CHA-73</t>
  </si>
  <si>
    <t>CHA-74</t>
  </si>
  <si>
    <t>CHA-75</t>
  </si>
  <si>
    <t>CHA-76</t>
  </si>
  <si>
    <t>CHA-77</t>
  </si>
  <si>
    <t>CHA-78</t>
  </si>
  <si>
    <t>CHA-79</t>
  </si>
  <si>
    <t>CHA-80</t>
  </si>
  <si>
    <t>CHA-81</t>
  </si>
  <si>
    <t>CHA-82</t>
  </si>
  <si>
    <t>CHA-83</t>
  </si>
  <si>
    <t>CHA-84</t>
  </si>
  <si>
    <t>CHA-85</t>
  </si>
  <si>
    <t>CHA-86</t>
  </si>
  <si>
    <t>CHA-87</t>
  </si>
  <si>
    <t>CHA-88</t>
  </si>
  <si>
    <t>CHA-89</t>
  </si>
  <si>
    <t>CHA-90</t>
  </si>
  <si>
    <t>CHA-91</t>
  </si>
  <si>
    <t>CHA-92</t>
  </si>
  <si>
    <t>CHA-93</t>
  </si>
  <si>
    <t>CHA-94</t>
  </si>
  <si>
    <t>CHA-95</t>
  </si>
  <si>
    <t>CHA-96</t>
  </si>
  <si>
    <t>Hiérarchiser
N° - Étape</t>
  </si>
  <si>
    <t>N°</t>
  </si>
  <si>
    <t>Grâce au tableau à droite, combiner un numéro à l'étape pour les hiérarchiser.</t>
  </si>
  <si>
    <t>Ajouter un "Champ calculé" pour calculer le "Taux de marge".</t>
  </si>
  <si>
    <t>Affecter une appréciation pour chaque élève en fonction de la note obtenue (les tableaux à droite devraient vous aider).</t>
  </si>
  <si>
    <t>Les fonctions de recherche renvoie 0 si la cellule trouvée est vide.</t>
  </si>
  <si>
    <t>Âge</t>
  </si>
  <si>
    <t>Tranche</t>
  </si>
  <si>
    <t>15-24 ans</t>
  </si>
  <si>
    <t>25-34 ans</t>
  </si>
  <si>
    <t>35-44 ans</t>
  </si>
  <si>
    <t>45-54 ans</t>
  </si>
  <si>
    <t>55-64 ans</t>
  </si>
  <si>
    <t>Plus de 65 ans</t>
  </si>
  <si>
    <t>Tranche d'âge</t>
  </si>
  <si>
    <t>0-14 ans</t>
  </si>
  <si>
    <t>Adrien</t>
  </si>
  <si>
    <t>Alexandre</t>
  </si>
  <si>
    <t>Antoine</t>
  </si>
  <si>
    <t>Baptiste</t>
  </si>
  <si>
    <t>Benjamin</t>
  </si>
  <si>
    <t>Clément</t>
  </si>
  <si>
    <t>Damien</t>
  </si>
  <si>
    <t>David</t>
  </si>
  <si>
    <t>Édouard</t>
  </si>
  <si>
    <t>Émile</t>
  </si>
  <si>
    <t>Étienne</t>
  </si>
  <si>
    <t>Florian</t>
  </si>
  <si>
    <t>François</t>
  </si>
  <si>
    <t>Gabriel</t>
  </si>
  <si>
    <t>Guillaume</t>
  </si>
  <si>
    <t>Hugo</t>
  </si>
  <si>
    <t>Jacques</t>
  </si>
  <si>
    <t>Jérôme</t>
  </si>
  <si>
    <t>Julien</t>
  </si>
  <si>
    <t>Laurent</t>
  </si>
  <si>
    <t>Louis</t>
  </si>
  <si>
    <t>Lucas</t>
  </si>
  <si>
    <t>Marc</t>
  </si>
  <si>
    <t>Martin</t>
  </si>
  <si>
    <t>Mathieu</t>
  </si>
  <si>
    <t>Maxime</t>
  </si>
  <si>
    <t>Nicolas</t>
  </si>
  <si>
    <t>Olivier</t>
  </si>
  <si>
    <t>Patrick</t>
  </si>
  <si>
    <t>Paul</t>
  </si>
  <si>
    <t>Pierre</t>
  </si>
  <si>
    <t>Quentin</t>
  </si>
  <si>
    <t>Raphaël</t>
  </si>
  <si>
    <t>Rémi</t>
  </si>
  <si>
    <t>Romain</t>
  </si>
  <si>
    <t>Samuel</t>
  </si>
  <si>
    <t>Sébastien</t>
  </si>
  <si>
    <t>Simon</t>
  </si>
  <si>
    <t>Stéphane</t>
  </si>
  <si>
    <t>Théo</t>
  </si>
  <si>
    <t>Thomas</t>
  </si>
  <si>
    <t>Timothée</t>
  </si>
  <si>
    <t>Tristan</t>
  </si>
  <si>
    <t>Valentin</t>
  </si>
  <si>
    <t>Victor</t>
  </si>
  <si>
    <t>Vincent</t>
  </si>
  <si>
    <t>William</t>
  </si>
  <si>
    <t>Yann</t>
  </si>
  <si>
    <t>Agnès</t>
  </si>
  <si>
    <t>Alexandra</t>
  </si>
  <si>
    <t>Alice</t>
  </si>
  <si>
    <t>Amélie</t>
  </si>
  <si>
    <t>Anaïs</t>
  </si>
  <si>
    <t>Angélique</t>
  </si>
  <si>
    <t>Anne</t>
  </si>
  <si>
    <t>Aurélie</t>
  </si>
  <si>
    <t>Camille</t>
  </si>
  <si>
    <t>Caroline</t>
  </si>
  <si>
    <t>Catherine</t>
  </si>
  <si>
    <t>Charlotte</t>
  </si>
  <si>
    <t>Chloé</t>
  </si>
  <si>
    <t>Christine</t>
  </si>
  <si>
    <t>Clémence</t>
  </si>
  <si>
    <t>Corinne</t>
  </si>
  <si>
    <t>Delphine</t>
  </si>
  <si>
    <t>Éléonore</t>
  </si>
  <si>
    <t>Élise</t>
  </si>
  <si>
    <t>Élodie</t>
  </si>
  <si>
    <t>Émilie</t>
  </si>
  <si>
    <t>Emma</t>
  </si>
  <si>
    <t>Florence</t>
  </si>
  <si>
    <t>Françoise</t>
  </si>
  <si>
    <t>Gabrielle</t>
  </si>
  <si>
    <t>Hélène</t>
  </si>
  <si>
    <t>Inès</t>
  </si>
  <si>
    <t>Isabelle</t>
  </si>
  <si>
    <t>Jacqueline</t>
  </si>
  <si>
    <t>Jeanne</t>
  </si>
  <si>
    <t>Julie</t>
  </si>
  <si>
    <t>Juliette</t>
  </si>
  <si>
    <t>Laetitia</t>
  </si>
  <si>
    <t>Laura</t>
  </si>
  <si>
    <t>Léa</t>
  </si>
  <si>
    <t>Louise</t>
  </si>
  <si>
    <t>Lucie</t>
  </si>
  <si>
    <t>Manon</t>
  </si>
  <si>
    <t>Margaux</t>
  </si>
  <si>
    <t>Marie</t>
  </si>
  <si>
    <t>Marion</t>
  </si>
  <si>
    <t>Mathilde</t>
  </si>
  <si>
    <t>Mélanie</t>
  </si>
  <si>
    <t>Nathalie</t>
  </si>
  <si>
    <t>Pauline</t>
  </si>
  <si>
    <t>Sandrine</t>
  </si>
  <si>
    <t>Sophie</t>
  </si>
  <si>
    <t>Stéphanie</t>
  </si>
  <si>
    <t>Valérie</t>
  </si>
  <si>
    <t>Correction Excel &lt; 2021
RECHERCHEV</t>
  </si>
  <si>
    <t>1. Grâce au tableau à droite, renvoyer la tranche correspondante à l'âge.</t>
  </si>
  <si>
    <t>2. Insérer ensuite un segment pour filtrer par tranche d'âge.</t>
  </si>
  <si>
    <t>Italie</t>
  </si>
  <si>
    <t>Poids colis (en kg)</t>
  </si>
  <si>
    <t>Livraison</t>
  </si>
  <si>
    <t>LIV-1</t>
  </si>
  <si>
    <t>LIV-2</t>
  </si>
  <si>
    <t>LIV-3</t>
  </si>
  <si>
    <t>LIV-4</t>
  </si>
  <si>
    <t>LIV-5</t>
  </si>
  <si>
    <t>LIV-6</t>
  </si>
  <si>
    <t>LIV-7</t>
  </si>
  <si>
    <t>LIV-8</t>
  </si>
  <si>
    <t>LIV-9</t>
  </si>
  <si>
    <t>LIV-10</t>
  </si>
  <si>
    <t>LIV-11</t>
  </si>
  <si>
    <t>LIV-12</t>
  </si>
  <si>
    <t>LIV-13</t>
  </si>
  <si>
    <t>LIV-14</t>
  </si>
  <si>
    <t>LIV-15</t>
  </si>
  <si>
    <t>LIV-16</t>
  </si>
  <si>
    <t>LIV-17</t>
  </si>
  <si>
    <t>LIV-18</t>
  </si>
  <si>
    <t>LIV-19</t>
  </si>
  <si>
    <t>LIV-20</t>
  </si>
  <si>
    <t>LIV-21</t>
  </si>
  <si>
    <t>LIV-22</t>
  </si>
  <si>
    <t>LIV-23</t>
  </si>
  <si>
    <t>LIV-24</t>
  </si>
  <si>
    <t>LIV-25</t>
  </si>
  <si>
    <t>LIV-26</t>
  </si>
  <si>
    <t>LIV-27</t>
  </si>
  <si>
    <t>LIV-28</t>
  </si>
  <si>
    <t>LIV-29</t>
  </si>
  <si>
    <t>LIV-30</t>
  </si>
  <si>
    <t>LIV-31</t>
  </si>
  <si>
    <t>LIV-32</t>
  </si>
  <si>
    <t>LIV-33</t>
  </si>
  <si>
    <t>LIV-34</t>
  </si>
  <si>
    <t>LIV-35</t>
  </si>
  <si>
    <t>LIV-36</t>
  </si>
  <si>
    <t>LIV-37</t>
  </si>
  <si>
    <t>LIV-38</t>
  </si>
  <si>
    <t>LIV-39</t>
  </si>
  <si>
    <t>LIV-40</t>
  </si>
  <si>
    <t>LIV-41</t>
  </si>
  <si>
    <t>LIV-42</t>
  </si>
  <si>
    <t>LIV-43</t>
  </si>
  <si>
    <t>LIV-44</t>
  </si>
  <si>
    <t>LIV-45</t>
  </si>
  <si>
    <t>LIV-46</t>
  </si>
  <si>
    <t>LIV-47</t>
  </si>
  <si>
    <t>LIV-48</t>
  </si>
  <si>
    <t>LIV-49</t>
  </si>
  <si>
    <t>LIV-50</t>
  </si>
  <si>
    <t>LIV-51</t>
  </si>
  <si>
    <t>LIV-52</t>
  </si>
  <si>
    <t>LIV-53</t>
  </si>
  <si>
    <t>LIV-54</t>
  </si>
  <si>
    <t>LIV-55</t>
  </si>
  <si>
    <t>LIV-56</t>
  </si>
  <si>
    <t>LIV-57</t>
  </si>
  <si>
    <t>LIV-58</t>
  </si>
  <si>
    <t>LIV-59</t>
  </si>
  <si>
    <t>LIV-60</t>
  </si>
  <si>
    <t>LIV-61</t>
  </si>
  <si>
    <t>LIV-62</t>
  </si>
  <si>
    <t>LIV-63</t>
  </si>
  <si>
    <t>LIV-64</t>
  </si>
  <si>
    <t>LIV-65</t>
  </si>
  <si>
    <t>LIV-66</t>
  </si>
  <si>
    <t>LIV-67</t>
  </si>
  <si>
    <t>LIV-68</t>
  </si>
  <si>
    <t>LIV-69</t>
  </si>
  <si>
    <t>LIV-70</t>
  </si>
  <si>
    <t>LIV-71</t>
  </si>
  <si>
    <t>LIV-72</t>
  </si>
  <si>
    <t>LIV-73</t>
  </si>
  <si>
    <t>LIV-74</t>
  </si>
  <si>
    <t>LIV-75</t>
  </si>
  <si>
    <t>LIV-76</t>
  </si>
  <si>
    <t>LIV-77</t>
  </si>
  <si>
    <t>LIV-78</t>
  </si>
  <si>
    <t>LIV-79</t>
  </si>
  <si>
    <t>LIV-80</t>
  </si>
  <si>
    <t>LIV-81</t>
  </si>
  <si>
    <t>LIV-82</t>
  </si>
  <si>
    <t>LIV-83</t>
  </si>
  <si>
    <t>LIV-84</t>
  </si>
  <si>
    <t>LIV-85</t>
  </si>
  <si>
    <t>LIV-86</t>
  </si>
  <si>
    <t>LIV-87</t>
  </si>
  <si>
    <t>LIV-88</t>
  </si>
  <si>
    <t>LIV-89</t>
  </si>
  <si>
    <t>LIV-90</t>
  </si>
  <si>
    <t>LIV-91</t>
  </si>
  <si>
    <t>LIV-92</t>
  </si>
  <si>
    <t>LIV-93</t>
  </si>
  <si>
    <t>LIV-94</t>
  </si>
  <si>
    <t>LIV-95</t>
  </si>
  <si>
    <t>LIV-96</t>
  </si>
  <si>
    <t>LIV-97</t>
  </si>
  <si>
    <t>LIV-98</t>
  </si>
  <si>
    <t>LIV-99</t>
  </si>
  <si>
    <t>LIV-100</t>
  </si>
  <si>
    <t>Pays de livraison</t>
  </si>
  <si>
    <t>Coût de livraison en fonction du poids et du pays</t>
  </si>
  <si>
    <t>Coût livraison</t>
  </si>
  <si>
    <t>Correction
Coût livraison</t>
  </si>
  <si>
    <t>Poids colis
jusqu'à ... kg</t>
  </si>
  <si>
    <t>Excel &lt; 2021
Coût livraison</t>
  </si>
  <si>
    <t>Sur Excel 2021, tu dois utiliser EQUIV, mais tes tes données doivent être triées par ordre décroissant…</t>
  </si>
  <si>
    <t>Trouver le coût de livraison en fonction du poids du colis en kg, et du pays de livraison.</t>
  </si>
  <si>
    <t>Les prix référencés dans la matrice sont définis jusqu'au poids du colis indiqué (au-delà de 2 kg, le prix est de 10 € en France).</t>
  </si>
  <si>
    <t>1. Convertir la colonne "Commentaire" en texte grâce à la fonctionnalité "Convertir".</t>
  </si>
  <si>
    <t>2. Colonne "Valide ?" : renvoyer "Valide" si le "Commentaire" contient "3000", "1000", ou "90", sinon renvoyer "Non valide".</t>
  </si>
  <si>
    <t>Créer une relation entre les deux tableaux pour analyser ensuite le coût total par pays dans un TCD.</t>
  </si>
  <si>
    <t>Dans un nouveau classeur, avec Power Query, renvoyer les pays qui correspondent aux villes indiquées.</t>
  </si>
  <si>
    <t>Dans un nouveau classeur, avec Power Query, séparer les chiffres des lettres.</t>
  </si>
  <si>
    <t>1. Renvoyer le "Tarif 2031" s'il est renseigné, sinon renvoyer le "Tarif 2030".</t>
  </si>
  <si>
    <t>2. Si l'article n'est pas renseigné, renvoyer "n° article inconnu".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</si>
  <si>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</si>
  <si>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</si>
  <si>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</si>
  <si>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</si>
  <si>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</si>
  <si>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</si>
  <si>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</si>
  <si>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</si>
  <si>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</si>
  <si>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</si>
  <si>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A013</t>
  </si>
  <si>
    <t>A014</t>
  </si>
  <si>
    <t>A012</t>
  </si>
  <si>
    <t>A011</t>
  </si>
  <si>
    <t>A015</t>
  </si>
  <si>
    <t>Total des
heures travaillées</t>
  </si>
  <si>
    <t>Total du
chiffre d'affaires</t>
  </si>
  <si>
    <t>Note obtenue</t>
  </si>
  <si>
    <t>Moyenne pondérée
de l'élève</t>
  </si>
  <si>
    <t>Taille</t>
  </si>
  <si>
    <t>Étiquettes de lignes</t>
  </si>
  <si>
    <t>ADÉSSIN Bérangère</t>
  </si>
  <si>
    <t>ADÉSSIN Blanche</t>
  </si>
  <si>
    <t>ALIZAN Gaspard</t>
  </si>
  <si>
    <t>AMO Nadine</t>
  </si>
  <si>
    <t>AREPASSÉ Jennifer</t>
  </si>
  <si>
    <t>DEJEU Bernadette</t>
  </si>
  <si>
    <t>DELUNE Claire</t>
  </si>
  <si>
    <t>DEMESSE Michel</t>
  </si>
  <si>
    <t>GLACE Brice</t>
  </si>
  <si>
    <t>GREC Edmond</t>
  </si>
  <si>
    <t>HABA Bart</t>
  </si>
  <si>
    <t>HO Bob</t>
  </si>
  <si>
    <t>OCHOCOLA Douglas</t>
  </si>
  <si>
    <t>OTTOFRAISE Charles</t>
  </si>
  <si>
    <t>POLAIRE Aurore</t>
  </si>
  <si>
    <t>SILLA Eddy</t>
  </si>
  <si>
    <t>STÉROLE Colette</t>
  </si>
  <si>
    <t>VERSAIRE Annie</t>
  </si>
  <si>
    <t>Total général</t>
  </si>
  <si>
    <t>Nombre de 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</si>
</sst>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6" formatCode="#,##0\ &quot;€&quot;;[Red]\-#,##0\ &quot;€&quot;"/>
    <numFmt numFmtId="164" formatCode="#,##0\ &quot;€&quot;"/>
    <numFmt numFmtId="165" formatCode="[$-F400]h:mm:ss\ AM/PM"/>
  </numFmts>
  <fonts count="18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 (Corps)"/>
    </font>
    <font>
      <i/>
      <sz val="11"/>
      <color theme="1"/>
      <name val="Calibri (Corps)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518B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518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3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6" fontId="0" fillId="5" borderId="0" xfId="0" applyNumberFormat="1" applyFill="1" applyAlignment="1">
      <alignment horizontal="left" vertical="center" wrapText="1"/>
    </xf>
    <xf numFmtId="0" fontId="3" fillId="2" borderId="0" xfId="0" applyFont="1" applyFill="1" applyAlignment="1">
      <alignment vertical="center" wrapText="1"/>
    </xf>
    <xf numFmtId="6" fontId="0" fillId="6" borderId="0" xfId="0" applyNumberFormat="1" applyFill="1" applyAlignment="1">
      <alignment horizontal="left" vertical="center" wrapText="1"/>
    </xf>
    <xf numFmtId="6" fontId="4" fillId="5" borderId="0" xfId="0" applyNumberFormat="1" applyFont="1" applyFill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 vertical="center" wrapText="1"/>
    </xf>
    <xf numFmtId="0" fontId="0" fillId="6" borderId="0" xfId="0" applyFill="1" applyAlignment="1">
      <alignment vertical="center" wrapText="1"/>
    </xf>
    <xf numFmtId="0" fontId="6" fillId="6" borderId="0" xfId="0" applyFont="1" applyFill="1" applyAlignment="1">
      <alignment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4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164" fontId="8" fillId="0" borderId="0" xfId="0" applyNumberFormat="1" applyFont="1" applyAlignment="1">
      <alignment horizontal="right" vertical="center"/>
    </xf>
    <xf numFmtId="0" fontId="8" fillId="5" borderId="0" xfId="0" applyFont="1" applyFill="1" applyAlignment="1">
      <alignment horizontal="left" vertical="center"/>
    </xf>
    <xf numFmtId="0" fontId="8" fillId="0" borderId="0" xfId="0" applyFont="1" applyAlignment="1">
      <alignment horizontal="center" vertical="center"/>
    </xf>
    <xf numFmtId="1" fontId="8" fillId="0" borderId="0" xfId="0" applyNumberFormat="1" applyFont="1" applyAlignment="1">
      <alignment horizontal="right" vertical="center"/>
    </xf>
    <xf numFmtId="164" fontId="8" fillId="0" borderId="0" xfId="0" applyNumberFormat="1" applyFont="1" applyAlignment="1">
      <alignment vertical="center"/>
    </xf>
    <xf numFmtId="14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vertical="center"/>
    </xf>
    <xf numFmtId="0" fontId="0" fillId="2" borderId="0" xfId="0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7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9" fillId="3" borderId="0" xfId="0" applyFont="1" applyFill="1" applyAlignment="1">
      <alignment vertical="top"/>
    </xf>
    <xf numFmtId="0" fontId="0" fillId="3" borderId="0" xfId="0" applyFill="1" applyAlignment="1">
      <alignment vertical="center"/>
    </xf>
    <xf numFmtId="0" fontId="7" fillId="4" borderId="0" xfId="0" applyFont="1" applyFill="1" applyAlignment="1">
      <alignment vertical="center" wrapText="1"/>
    </xf>
    <xf numFmtId="0" fontId="9" fillId="3" borderId="0" xfId="0" applyFont="1" applyFill="1" applyAlignment="1">
      <alignment vertical="top" wrapText="1"/>
    </xf>
    <xf numFmtId="0" fontId="9" fillId="3" borderId="0" xfId="0" applyFont="1" applyFill="1" applyAlignment="1">
      <alignment vertical="center"/>
    </xf>
    <xf numFmtId="0" fontId="9" fillId="3" borderId="0" xfId="0" applyFont="1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1" fontId="7" fillId="2" borderId="6" xfId="0" applyNumberFormat="1" applyFont="1" applyFill="1" applyBorder="1" applyAlignment="1">
      <alignment horizontal="center" vertical="center" wrapText="1"/>
    </xf>
    <xf numFmtId="0" fontId="10" fillId="3" borderId="0" xfId="0" applyFont="1" applyFill="1" applyAlignment="1">
      <alignment vertical="top"/>
    </xf>
    <xf numFmtId="0" fontId="6" fillId="2" borderId="0" xfId="0" applyFont="1" applyFill="1" applyAlignment="1">
      <alignment vertical="center" wrapText="1"/>
    </xf>
    <xf numFmtId="1" fontId="0" fillId="6" borderId="0" xfId="0" applyNumberFormat="1" applyFill="1" applyAlignment="1">
      <alignment horizontal="left" vertical="center" wrapText="1"/>
    </xf>
    <xf numFmtId="6" fontId="0" fillId="0" borderId="0" xfId="0" applyNumberFormat="1" applyAlignment="1">
      <alignment horizontal="left" vertical="center" wrapText="1"/>
    </xf>
    <xf numFmtId="1" fontId="0" fillId="5" borderId="0" xfId="0" applyNumberFormat="1" applyFill="1" applyAlignment="1">
      <alignment horizontal="left" vertical="center" wrapText="1"/>
    </xf>
    <xf numFmtId="1" fontId="0" fillId="6" borderId="0" xfId="0" applyNumberFormat="1" applyFill="1" applyAlignment="1">
      <alignment vertical="center" wrapText="1"/>
    </xf>
    <xf numFmtId="0" fontId="0" fillId="3" borderId="0" xfId="0" applyFill="1"/>
    <xf numFmtId="164" fontId="0" fillId="5" borderId="1" xfId="0" applyNumberForma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" fontId="0" fillId="0" borderId="0" xfId="0" applyNumberFormat="1" applyAlignment="1">
      <alignment horizontal="right" vertical="center" wrapText="1"/>
    </xf>
    <xf numFmtId="6" fontId="0" fillId="0" borderId="0" xfId="0" applyNumberFormat="1" applyAlignment="1">
      <alignment horizontal="right" vertical="center" wrapText="1"/>
    </xf>
    <xf numFmtId="0" fontId="0" fillId="5" borderId="0" xfId="0" applyFill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46" fontId="0" fillId="0" borderId="1" xfId="0" applyNumberFormat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4" fontId="0" fillId="5" borderId="0" xfId="0" applyNumberFormat="1" applyFill="1" applyAlignment="1">
      <alignment horizontal="center" vertical="center" wrapText="1"/>
    </xf>
    <xf numFmtId="164" fontId="0" fillId="6" borderId="0" xfId="0" applyNumberFormat="1" applyFill="1" applyAlignment="1">
      <alignment horizontal="center" vertical="center" wrapText="1"/>
    </xf>
    <xf numFmtId="0" fontId="0" fillId="4" borderId="0" xfId="0" applyFill="1"/>
    <xf numFmtId="164" fontId="0" fillId="7" borderId="1" xfId="0" applyNumberFormat="1" applyFill="1" applyBorder="1" applyAlignment="1">
      <alignment horizontal="center" vertical="center" wrapText="1"/>
    </xf>
    <xf numFmtId="1" fontId="0" fillId="5" borderId="1" xfId="0" applyNumberFormat="1" applyFill="1" applyBorder="1" applyAlignment="1">
      <alignment horizontal="center" vertical="center" wrapText="1"/>
    </xf>
    <xf numFmtId="1" fontId="7" fillId="2" borderId="5" xfId="0" applyNumberFormat="1" applyFont="1" applyFill="1" applyBorder="1" applyAlignment="1">
      <alignment horizontal="center" vertical="center" wrapText="1"/>
    </xf>
    <xf numFmtId="49" fontId="0" fillId="6" borderId="0" xfId="0" applyNumberFormat="1" applyFill="1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3" borderId="0" xfId="0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0" fillId="3" borderId="0" xfId="0" applyFont="1" applyFill="1" applyAlignment="1">
      <alignment vertical="center"/>
    </xf>
    <xf numFmtId="164" fontId="8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7" fillId="4" borderId="0" xfId="0" applyFont="1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  <xf numFmtId="0" fontId="1" fillId="6" borderId="0" xfId="0" applyFont="1" applyFill="1" applyAlignment="1">
      <alignment horizontal="left" vertical="center" wrapText="1"/>
    </xf>
    <xf numFmtId="0" fontId="1" fillId="5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0" fontId="1" fillId="4" borderId="0" xfId="0" applyFont="1" applyFill="1" applyAlignment="1">
      <alignment horizontal="left" vertical="center" wrapText="1"/>
    </xf>
    <xf numFmtId="3" fontId="0" fillId="0" borderId="0" xfId="0" applyNumberFormat="1" applyAlignment="1">
      <alignment horizontal="center" vertical="center" wrapText="1"/>
    </xf>
    <xf numFmtId="2" fontId="0" fillId="7" borderId="1" xfId="0" applyNumberFormat="1" applyFill="1" applyBorder="1" applyAlignment="1">
      <alignment horizontal="center" vertical="center" wrapText="1"/>
    </xf>
    <xf numFmtId="0" fontId="10" fillId="3" borderId="0" xfId="0" applyFont="1" applyFill="1" applyAlignment="1">
      <alignment horizontal="left" vertical="center"/>
    </xf>
    <xf numFmtId="3" fontId="8" fillId="0" borderId="0" xfId="0" applyNumberFormat="1" applyFont="1" applyAlignment="1">
      <alignment horizontal="left" vertical="center"/>
    </xf>
    <xf numFmtId="164" fontId="15" fillId="0" borderId="0" xfId="0" applyNumberFormat="1" applyFont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164" fontId="0" fillId="5" borderId="0" xfId="0" applyNumberFormat="1" applyFill="1" applyAlignment="1">
      <alignment horizontal="left" vertical="center" wrapText="1"/>
    </xf>
    <xf numFmtId="0" fontId="9" fillId="3" borderId="0" xfId="0" applyFont="1" applyFill="1" applyAlignment="1">
      <alignment horizontal="left" vertical="top"/>
    </xf>
    <xf numFmtId="6" fontId="4" fillId="5" borderId="0" xfId="0" applyNumberFormat="1" applyFont="1" applyFill="1" applyAlignment="1">
      <alignment horizontal="left" vertical="center" wrapText="1"/>
    </xf>
    <xf numFmtId="0" fontId="16" fillId="0" borderId="0" xfId="0" applyFont="1" applyAlignment="1">
      <alignment vertical="center" wrapText="1"/>
    </xf>
    <xf numFmtId="0" fontId="16" fillId="5" borderId="0" xfId="0" applyFont="1" applyFill="1" applyAlignment="1">
      <alignment vertical="center" wrapText="1"/>
    </xf>
    <xf numFmtId="164" fontId="16" fillId="6" borderId="0" xfId="0" applyNumberFormat="1" applyFont="1" applyFill="1" applyAlignment="1">
      <alignment horizontal="left" vertical="center" wrapText="1"/>
    </xf>
    <xf numFmtId="0" fontId="16" fillId="0" borderId="8" xfId="0" applyFont="1" applyBorder="1" applyAlignment="1">
      <alignment vertical="center" wrapText="1"/>
    </xf>
    <xf numFmtId="0" fontId="17" fillId="0" borderId="0" xfId="0" applyFont="1" applyAlignment="1">
      <alignment vertical="center" wrapText="1"/>
    </xf>
    <xf numFmtId="164" fontId="17" fillId="6" borderId="0" xfId="0" applyNumberFormat="1" applyFont="1" applyFill="1" applyAlignment="1">
      <alignment horizontal="left" vertical="center" wrapText="1"/>
    </xf>
    <xf numFmtId="0" fontId="17" fillId="5" borderId="0" xfId="0" applyFont="1" applyFill="1" applyAlignment="1">
      <alignment vertical="center" wrapText="1"/>
    </xf>
    <xf numFmtId="0" fontId="17" fillId="0" borderId="0" xfId="0" applyFont="1" applyAlignment="1">
      <alignment horizontal="left" vertical="center" wrapText="1"/>
    </xf>
    <xf numFmtId="164" fontId="17" fillId="0" borderId="0" xfId="0" applyNumberFormat="1" applyFont="1" applyAlignment="1">
      <alignment horizontal="left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5" fontId="0" fillId="5" borderId="1" xfId="0" applyNumberFormat="1" applyFill="1" applyBorder="1" applyAlignment="1">
      <alignment horizontal="center" vertical="center" wrapText="1"/>
    </xf>
    <xf numFmtId="49" fontId="0" fillId="0" borderId="0" xfId="0" applyNumberFormat="1" applyAlignment="1">
      <alignment horizontal="left" vertical="center" wrapText="1"/>
    </xf>
    <xf numFmtId="164" fontId="0" fillId="0" borderId="0" xfId="0" applyNumberFormat="1" applyAlignment="1">
      <alignment vertical="center" wrapText="1"/>
    </xf>
    <xf numFmtId="2" fontId="0" fillId="5" borderId="1" xfId="0" applyNumberForma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06">
    <dxf>
      <font>
        <b val="0"/>
        <i/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ont>
        <b val="0"/>
        <strike val="0"/>
        <outline val="0"/>
        <shadow val="0"/>
        <u val="none"/>
        <vertAlign val="baseline"/>
        <sz val="11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family val="2"/>
      </font>
      <fill>
        <patternFill patternType="none">
          <fgColor rgb="FF000000"/>
          <bgColor auto="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i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ont>
        <i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ont>
        <i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0" formatCode="#,##0\ &quot;€&quot;;[Red]\-#,##0\ &quot;€&quot;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0" formatCode="#,##0\ &quot;€&quot;;[Red]\-#,##0\ &quot;€&quot;"/>
      <fill>
        <patternFill patternType="solid">
          <fgColor indexed="64"/>
          <bgColor theme="7" tint="0.79998168889431442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0" formatCode="#,##0\ &quot;€&quot;;[Red]\-#,##0\ &quot;€&quot;"/>
      <fill>
        <patternFill patternType="solid">
          <fgColor indexed="64"/>
          <bgColor theme="7" tint="0.79998168889431442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rgb="FF000000"/>
          <bgColor auto="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0" formatCode="#,##0\ &quot;€&quot;;[Red]\-#,##0\ &quot;€&quot;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</font>
      <numFmt numFmtId="10" formatCode="#,##0\ &quot;€&quot;;[Red]\-#,##0\ &quot;€&quot;"/>
      <fill>
        <patternFill patternType="solid">
          <fgColor indexed="64"/>
          <bgColor theme="7" tint="0.79998168889431442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ill>
        <patternFill patternType="none">
          <fgColor rgb="FF000000"/>
          <bgColor auto="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family val="2"/>
      </font>
      <numFmt numFmtId="0" formatCode="General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numFmt numFmtId="0" formatCode="General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family val="2"/>
      </font>
      <fill>
        <patternFill patternType="none">
          <fgColor rgb="FF000000"/>
          <bgColor auto="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numFmt numFmtId="0" formatCode="General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numFmt numFmtId="0" formatCode="General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numFmt numFmtId="0" formatCode="General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numFmt numFmtId="0" formatCode="General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10" formatCode="#,##0\ &quot;€&quot;;[Red]\-#,##0\ &quot;€&quot;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10" formatCode="#,##0\ &quot;€&quot;;[Red]\-#,##0\ &quot;€&quot;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family val="2"/>
      </font>
      <fill>
        <patternFill patternType="none">
          <fgColor rgb="FF000000"/>
          <bgColor auto="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numFmt numFmtId="164" formatCode="#,##0\ &quot;€&quot;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164" formatCode="#,##0\ &quot;€&quot;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#,##0\ &quot;€&quot;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family val="2"/>
      </font>
      <fill>
        <patternFill patternType="none">
          <fgColor rgb="FF000000"/>
          <bgColor auto="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#,##0\ &quot;€&quot;"/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family val="2"/>
      </font>
      <numFmt numFmtId="3" formatCode="#,##0"/>
      <fill>
        <patternFill patternType="none">
          <fgColor rgb="FF000000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000000"/>
          <bgColor rgb="FF000000"/>
        </patternFill>
      </fill>
    </dxf>
    <dxf>
      <font>
        <strike val="0"/>
        <outline val="0"/>
        <shadow val="0"/>
        <u val="none"/>
        <vertAlign val="baseline"/>
        <sz val="11"/>
        <family val="2"/>
      </font>
      <fill>
        <patternFill patternType="none">
          <fgColor rgb="FF000000"/>
          <bgColor auto="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#,##0\ &quot;€&quot;"/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family val="2"/>
      </font>
      <numFmt numFmtId="164" formatCode="#,##0\ &quot;€&quot;"/>
      <fill>
        <patternFill patternType="none">
          <fgColor rgb="FF000000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#,##0\ &quot;€&quot;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164" formatCode="#,##0\ &quot;€&quot;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</dxf>
    <dxf>
      <font>
        <strike val="0"/>
        <outline val="0"/>
        <shadow val="0"/>
        <u val="none"/>
        <vertAlign val="baseline"/>
        <sz val="11"/>
        <family val="2"/>
      </font>
      <fill>
        <patternFill patternType="none">
          <fgColor rgb="FF000000"/>
          <bgColor auto="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numFmt numFmtId="164" formatCode="#,##0\ &quot;€&quot;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numFmt numFmtId="164" formatCode="#,##0\ &quot;€&quot;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164" formatCode="#,##0\ &quot;€&quot;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-F400]h:mm:ss\ AM/PM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family val="2"/>
      </font>
      <fill>
        <patternFill patternType="none">
          <fgColor rgb="FF000000"/>
          <bgColor auto="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7" tint="0.79998168889431442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0" formatCode="#,##0\ &quot;€&quot;;[Red]\-#,##0\ &quot;€&quot;"/>
      <fill>
        <patternFill patternType="solid">
          <fgColor indexed="64"/>
          <bgColor theme="7" tint="0.79998168889431442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0" formatCode="#,##0\ &quot;€&quot;;[Red]\-#,##0\ &quot;€&quot;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rgb="FF000000"/>
          <bgColor auto="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0" formatCode="#,##0\ &quot;€&quot;;[Red]\-#,##0\ &quot;€&quot;"/>
      <fill>
        <patternFill patternType="solid">
          <fgColor indexed="64"/>
          <bgColor theme="7" tint="0.79998168889431442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0" formatCode="#,##0\ &quot;€&quot;;[Red]\-#,##0\ &quot;€&quot;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rgb="FF000000"/>
          <bgColor auto="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0" formatCode="#,##0\ &quot;€&quot;;[Red]\-#,##0\ &quot;€&quot;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numFmt numFmtId="164" formatCode="#,##0\ &quot;€&quot;"/>
      <alignment horizontal="left" vertical="center" textRotation="0" wrapText="1" indent="0" justifyLastLine="0" shrinkToFit="0" readingOrder="0"/>
    </dxf>
    <dxf>
      <numFmt numFmtId="164" formatCode="#,##0\ &quot;€&quot;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numFmt numFmtId="164" formatCode="#,##0\ &quot;€&quot;"/>
      <fill>
        <patternFill patternType="solid">
          <fgColor indexed="64"/>
          <bgColor theme="7" tint="0.79998168889431442"/>
        </patternFill>
      </fill>
      <alignment horizontal="left" vertical="center" textRotation="0" wrapText="1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164" formatCode="#,##0\ &quot;€&quot;"/>
      <alignment horizontal="center" vertical="center" textRotation="0" wrapText="1" indent="0" justifyLastLine="0" shrinkToFit="0" readingOrder="0"/>
    </dxf>
    <dxf>
      <numFmt numFmtId="164" formatCode="#,##0\ &quot;€&quot;"/>
      <alignment horizontal="center" vertical="center" textRotation="0" wrapText="1" indent="0" justifyLastLine="0" shrinkToFit="0" readingOrder="0"/>
    </dxf>
    <dxf>
      <numFmt numFmtId="164" formatCode="#,##0\ &quot;€&quot;"/>
      <alignment horizontal="center" vertical="center" textRotation="0" wrapText="1" indent="0" justifyLastLine="0" shrinkToFit="0" readingOrder="0"/>
    </dxf>
    <dxf>
      <numFmt numFmtId="164" formatCode="#,##0\ &quot;€&quot;"/>
      <alignment horizontal="center" vertical="center" textRotation="0" wrapText="1" indent="0" justifyLastLine="0" shrinkToFit="0" readingOrder="0"/>
    </dxf>
    <dxf>
      <numFmt numFmtId="1" formatCode="0"/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numFmt numFmtId="164" formatCode="#,##0\ &quot;€&quot;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numFmt numFmtId="164" formatCode="#,##0\ &quot;€&quot;"/>
      <alignment horizontal="left" vertical="center" textRotation="0" wrapText="1" indent="0" justifyLastLine="0" shrinkToFit="0" readingOrder="0"/>
    </dxf>
    <dxf>
      <numFmt numFmtId="164" formatCode="#,##0\ &quot;€&quot;"/>
      <alignment horizontal="left" vertical="center" textRotation="0" wrapText="1" indent="0" justifyLastLine="0" shrinkToFit="0" readingOrder="0"/>
    </dxf>
    <dxf>
      <numFmt numFmtId="164" formatCode="#,##0\ &quot;€&quot;"/>
      <alignment horizontal="left" vertical="center" textRotation="0" wrapText="1" indent="0" justifyLastLine="0" shrinkToFit="0" readingOrder="0"/>
    </dxf>
    <dxf>
      <numFmt numFmtId="164" formatCode="#,##0\ &quot;€&quot;"/>
      <alignment horizontal="left" vertical="center" textRotation="0" wrapText="1" indent="0" justifyLastLine="0" shrinkToFit="0" readingOrder="0"/>
    </dxf>
    <dxf>
      <numFmt numFmtId="164" formatCode="#,##0\ &quot;€&quot;"/>
      <alignment horizontal="left" vertical="center" textRotation="0" wrapText="1" indent="0" justifyLastLine="0" shrinkToFit="0" readingOrder="0"/>
    </dxf>
    <dxf>
      <numFmt numFmtId="164" formatCode="#,##0\ &quot;€&quot;"/>
      <alignment horizontal="left" vertical="center" textRotation="0" wrapText="1" indent="0" justifyLastLine="0" shrinkToFit="0" readingOrder="0"/>
    </dxf>
    <dxf>
      <numFmt numFmtId="164" formatCode="#,##0\ &quot;€&quot;"/>
      <alignment horizontal="left" vertical="center" textRotation="0" wrapText="1" indent="0" justifyLastLine="0" shrinkToFit="0" readingOrder="0"/>
    </dxf>
    <dxf>
      <numFmt numFmtId="164" formatCode="#,##0\ &quot;€&quot;"/>
      <alignment horizontal="left" vertical="center" textRotation="0" wrapText="1" indent="0" justifyLastLine="0" shrinkToFit="0" readingOrder="0"/>
    </dxf>
    <dxf>
      <numFmt numFmtId="164" formatCode="#,##0\ &quot;€&quot;"/>
      <alignment horizontal="left" vertical="center" textRotation="0" wrapText="1" indent="0" justifyLastLine="0" shrinkToFit="0" readingOrder="0"/>
    </dxf>
    <dxf>
      <numFmt numFmtId="164" formatCode="#,##0\ &quot;€&quot;"/>
      <alignment horizontal="left" vertical="center" textRotation="0" wrapText="1" indent="0" justifyLastLine="0" shrinkToFit="0" readingOrder="0"/>
    </dxf>
    <dxf>
      <numFmt numFmtId="164" formatCode="#,##0\ &quot;€&quot;"/>
      <alignment horizontal="left" vertical="center" textRotation="0" wrapText="1" indent="0" justifyLastLine="0" shrinkToFit="0" readingOrder="0"/>
    </dxf>
    <dxf>
      <numFmt numFmtId="164" formatCode="#,##0\ &quot;€&quot;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4" formatCode="#,##0\ &quot;€&quot;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4" formatCode="#,##0\ &quot;€&quot;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horizontal="general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0" formatCode="#,##0\ &quot;€&quot;;[Red]\-#,##0\ &quot;€&quot;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numFmt numFmtId="1" formatCode="0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font>
        <b val="0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ill>
        <patternFill patternType="none">
          <fgColor rgb="FF000000"/>
          <bgColor auto="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numFmt numFmtId="164" formatCode="#,##0\ &quot;€&quot;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#,##0\ &quot;€&quot;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numFmt numFmtId="164" formatCode="#,##0\ &quot;€&quot;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#,##0\ &quot;€&quot;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#,##0\ &quot;€&quot;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#,##0\ &quot;€&quot;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#,##0\ &quot;€&quot;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color auto="1"/>
      </font>
      <fill>
        <patternFill>
          <bgColor theme="8" tint="0.79998168889431442"/>
        </patternFill>
      </fill>
    </dxf>
    <dxf>
      <font>
        <b/>
        <i val="0"/>
        <color theme="0"/>
      </font>
      <fill>
        <patternFill>
          <bgColor rgb="FF00518B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theme="8" tint="0.79998168889431442"/>
        </patternFill>
      </fill>
    </dxf>
    <dxf>
      <font>
        <b/>
        <i val="0"/>
        <color theme="0"/>
      </font>
      <fill>
        <patternFill>
          <bgColor rgb="FF00518B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hair">
          <color auto="1"/>
        </vertical>
      </border>
    </dxf>
  </dxfs>
  <tableStyles count="2" defaultTableStyle="TableStyleMedium2" defaultPivotStyle="PivotStyleLight16">
    <tableStyle name="Morpheus" pivot="0" count="3" xr9:uid="{C13EBC2E-8DC8-AF43-9E5D-B4E24D33E7A9}">
      <tableStyleElement type="wholeTable" dxfId="205"/>
      <tableStyleElement type="headerRow" dxfId="204"/>
      <tableStyleElement type="firstRowStripe" dxfId="203"/>
    </tableStyle>
    <tableStyle name="Style de tableau 1" pivot="0" count="3" xr9:uid="{604FC66C-DD9A-B643-B223-8D82E6AB2E4A}">
      <tableStyleElement type="wholeTable" dxfId="202"/>
      <tableStyleElement type="headerRow" dxfId="201"/>
      <tableStyleElement type="firstRowStripe" dxfId="200"/>
    </tableStyle>
  </tableStyles>
  <colors>
    <mruColors>
      <color rgb="FF0051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powerPivotData" Target="model/item.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190499</xdr:colOff>
      <xdr:row>0</xdr:row>
      <xdr:rowOff>0</xdr:rowOff>
    </xdr:from>
    <xdr:to>
      <xdr:col>15</xdr:col>
      <xdr:colOff>738972</xdr:colOff>
      <xdr:row>4</xdr:row>
      <xdr:rowOff>63500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5A1C872F-64D4-685B-9901-BBD0A86FB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35999" y="0"/>
          <a:ext cx="7172793" cy="838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47</xdr:row>
      <xdr:rowOff>63500</xdr:rowOff>
    </xdr:from>
    <xdr:to>
      <xdr:col>1</xdr:col>
      <xdr:colOff>588677</xdr:colOff>
      <xdr:row>100</xdr:row>
      <xdr:rowOff>25400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AA8E9179-1855-CC46-9560-9FCC078BB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000"/>
          <a:ext cx="1985677" cy="10058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563880</xdr:colOff>
      <xdr:row>0</xdr:row>
      <xdr:rowOff>0</xdr:rowOff>
    </xdr:from>
    <xdr:to>
      <xdr:col>7</xdr:col>
      <xdr:colOff>967740</xdr:colOff>
      <xdr:row>11</xdr:row>
      <xdr:rowOff>13335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Doublon ?">
              <a:extLst>
                <a:ext uri="{FF2B5EF4-FFF2-40B4-BE49-F238E27FC236}">
                  <a16:creationId xmlns:a16="http://schemas.microsoft.com/office/drawing/2014/main" id="{CFD0B704-8868-A1A8-EAD0-C565763E528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oublon ?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25300" y="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 de table. Les segments de table ne sont pas pris en charge dans cette version d’Excel.
En revanche, si la forme a été modifiée dans une version antérieure d’Excel, ou si le classeur a été enregistré dans Excel 2007 ou une version antérieure, vous ne pouvez pas utiliser le segment.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tilisateur" refreshedDate="45956.706373032408" backgroundQuery="1" createdVersion="8" refreshedVersion="8" minRefreshableVersion="3" recordCount="0" supportSubquery="1" supportAdvancedDrill="1" xr:uid="{F00BB5C7-F22B-406D-9A10-CC3E903B629C}">
  <cacheSource type="external" connectionId="1"/>
  <cacheFields count="2">
    <cacheField name="[_12 Liste_données_uniques].[Correction].[Correction]" caption="Correction" numFmtId="0" hierarchy="4" level="1">
      <sharedItems count="18">
        <s v="ADÉSSIN Bérangère"/>
        <s v="ADÉSSIN Blanche"/>
        <s v="ALIZAN Gaspard"/>
        <s v="AMO Nadine"/>
        <s v="AREPASSÉ Jennifer"/>
        <s v="DEJEU Bernadette"/>
        <s v="DELUNE Claire"/>
        <s v="DEMESSE Michel"/>
        <s v="GLACE Brice"/>
        <s v="GREC Edmond"/>
        <s v="HABA Bart"/>
        <s v="HO Bob"/>
        <s v="OCHOCOLA Douglas"/>
        <s v="OTTOFRAISE Charles"/>
        <s v="POLAIRE Aurore"/>
        <s v="SILLA Eddy"/>
        <s v="STÉROLE Colette"/>
        <s v="VERSAIRE Annie"/>
      </sharedItems>
    </cacheField>
    <cacheField name="[Measures].[Nombre de Mail]" caption="Nombre de Mail" numFmtId="0" hierarchy="7" level="32767"/>
  </cacheFields>
  <cacheHierarchies count="8">
    <cacheHierarchy uniqueName="[_12 Liste_données_uniques].[Nom]" caption="Nom" attribute="1" defaultMemberUniqueName="[_12 Liste_données_uniques].[Nom].[All]" allUniqueName="[_12 Liste_données_uniques].[Nom].[All]" dimensionUniqueName="[_12 Liste_données_uniques]" displayFolder="" count="0" memberValueDatatype="130" unbalanced="0"/>
    <cacheHierarchy uniqueName="[_12 Liste_données_uniques].[Prénom]" caption="Prénom" attribute="1" defaultMemberUniqueName="[_12 Liste_données_uniques].[Prénom].[All]" allUniqueName="[_12 Liste_données_uniques].[Prénom].[All]" dimensionUniqueName="[_12 Liste_données_uniques]" displayFolder="" count="0" memberValueDatatype="130" unbalanced="0"/>
    <cacheHierarchy uniqueName="[_12 Liste_données_uniques].[Mail]" caption="Mail" attribute="1" defaultMemberUniqueName="[_12 Liste_données_uniques].[Mail].[All]" allUniqueName="[_12 Liste_données_uniques].[Mail].[All]" dimensionUniqueName="[_12 Liste_données_uniques]" displayFolder="" count="0" memberValueDatatype="130" unbalanced="0"/>
    <cacheHierarchy uniqueName="[_12 Liste_données_uniques].[Nom et prénom]" caption="Nom et prénom" attribute="1" defaultMemberUniqueName="[_12 Liste_données_uniques].[Nom et prénom].[All]" allUniqueName="[_12 Liste_données_uniques].[Nom et prénom].[All]" dimensionUniqueName="[_12 Liste_données_uniques]" displayFolder="" count="0" memberValueDatatype="130" unbalanced="0"/>
    <cacheHierarchy uniqueName="[_12 Liste_données_uniques].[Correction]" caption="Correction" attribute="1" defaultMemberUniqueName="[_12 Liste_données_uniques].[Correction].[All]" allUniqueName="[_12 Liste_données_uniques].[Correction].[All]" dimensionUniqueName="[_12 Liste_données_uniques]" displayFolder="" count="2" memberValueDatatype="130" unbalanced="0">
      <fieldsUsage count="2">
        <fieldUsage x="-1"/>
        <fieldUsage x="0"/>
      </fieldsUsage>
    </cacheHierarchy>
    <cacheHierarchy uniqueName="[Measures].[__XL_Count _12 Liste_données_uniques]" caption="__XL_Count _12 Liste_données_uniques" measure="1" displayFolder="" measureGroup="_12 Liste_données_uniques" count="0" hidden="1"/>
    <cacheHierarchy uniqueName="[Measures].[__No measures defined]" caption="__No measures defined" measure="1" displayFolder="" count="0" hidden="1"/>
    <cacheHierarchy uniqueName="[Measures].[Nombre de Mail]" caption="Nombre de Mail" measure="1" displayFolder="" measureGroup="_12 Liste_données_uniqu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name="_12 Liste_données_uniques" uniqueName="[_12 Liste_données_uniques]" caption="_12 Liste_données_uniques"/>
    <dimension measure="1" name="Measures" uniqueName="[Measures]" caption="Measures"/>
  </dimensions>
  <measureGroups count="1">
    <measureGroup name="_12 Liste_données_uniques" caption="_12 Liste_données_unique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6A20D9-ACE0-48BF-9CF5-5A29550B7C34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I14:J33" firstHeaderRow="1" firstDataRow="1" firstDataCol="1"/>
  <pivotFields count="2">
    <pivotField axis="axisRow" allDrilled="1" subtotalTop="0" showAll="0" dataSourceSort="1" defaultSubtotal="0" defaultAttributeDrillState="1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dataField="1" subtotalTop="0" showAll="0" defaultSubtota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Nombre de Mail" fld="1" subtotal="count" baseField="0" baseItem="13"/>
  </dataFields>
  <pivotHierarchies count="8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21.Cas pratiques (1).xlsx!_12.Liste_données_uniques">
        <x15:activeTabTopLevelEntity name="[_12 Liste_données_uniqu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Doublon_?" xr10:uid="{95D5867F-1D7B-4260-B0D9-B9C473962299}" sourceName="Doublon ?">
  <extLst>
    <x:ext xmlns:x15="http://schemas.microsoft.com/office/spreadsheetml/2010/11/main" uri="{2F2917AC-EB37-4324-AD4E-5DD8C200BD13}">
      <x15:tableSlicerCache tableId="4" column="9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oublon ?" xr10:uid="{5AF172A6-F26D-49F8-A769-A3BFBE52BF71}" cache="Segment_Doublon_?" caption="Doublon ?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E756435-F31E-9243-BCE9-1F0DA5DBEB3A}" name="_1.TCD_avancé" displayName="_1.TCD_avancé" ref="A5:F162" totalsRowShown="0" headerRowDxfId="199" dataDxfId="198">
  <autoFilter ref="A5:F162" xr:uid="{5E20CFC5-A51E-CE47-8368-360F6DB1D663}"/>
  <sortState xmlns:xlrd2="http://schemas.microsoft.com/office/spreadsheetml/2017/richdata2" ref="A6:F162">
    <sortCondition ref="A5:A162"/>
  </sortState>
  <tableColumns count="6">
    <tableColumn id="2" xr3:uid="{91BCFE04-4FFC-D646-A5FB-EDC25E143212}" name="Date" dataDxfId="197"/>
    <tableColumn id="3" xr3:uid="{5BBCA4EE-9FDD-694D-8A09-CE782EB956C9}" name="Produit vendu" dataDxfId="196"/>
    <tableColumn id="10" xr3:uid="{262FC3BC-A4ED-7C45-8CAE-68864CFA7E39}" name="Q vendue" dataDxfId="195"/>
    <tableColumn id="11" xr3:uid="{EE2A5A00-002E-BD43-9F3F-9B16CC3101CE}" name="Prix unitaire" dataDxfId="194"/>
    <tableColumn id="12" xr3:uid="{61563A17-B5BE-514B-AE29-CD7B5006E18A}" name="CA HT" dataDxfId="193"/>
    <tableColumn id="5" xr3:uid="{29DCDCF9-C8CF-1941-9092-BEBADAF9F827}" name="Marge" dataDxfId="192"/>
  </tableColumns>
  <tableStyleInfo name="Morpheus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E7F52F31-E33C-1241-AFF0-1401BB8B4946}" name="_2.1.TCD_relations" displayName="_2.1.TCD_relations" ref="A5:C305" totalsRowShown="0" headerRowDxfId="191" dataDxfId="190">
  <autoFilter ref="A5:C305" xr:uid="{5E20CFC5-A51E-CE47-8368-360F6DB1D663}"/>
  <sortState xmlns:xlrd2="http://schemas.microsoft.com/office/spreadsheetml/2017/richdata2" ref="A6:C105">
    <sortCondition ref="A5:A105"/>
  </sortState>
  <tableColumns count="3">
    <tableColumn id="2" xr3:uid="{489A3B96-5C3E-904E-8350-09B8F00175A8}" name="Projet" dataDxfId="189"/>
    <tableColumn id="12" xr3:uid="{E1BCE873-D073-A544-ACB7-D6AE6EA1E004}" name="Ville" dataDxfId="188"/>
    <tableColumn id="6" xr3:uid="{7D4F76B6-7148-EE4D-B890-C69CE77A0377}" name="Coût total" dataDxfId="187"/>
  </tableColumns>
  <tableStyleInfo name="Morpheus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98A6059B-251D-7149-9F89-9BB95A5BD84F}" name="_2.2.TCD_relations" displayName="_2.2.TCD_relations" ref="E5:F23" totalsRowShown="0" headerRowDxfId="186" dataDxfId="185">
  <autoFilter ref="E5:F23" xr:uid="{98A6059B-251D-7149-9F89-9BB95A5BD84F}"/>
  <sortState xmlns:xlrd2="http://schemas.microsoft.com/office/spreadsheetml/2017/richdata2" ref="E6:F23">
    <sortCondition ref="F5:F23"/>
  </sortState>
  <tableColumns count="2">
    <tableColumn id="1" xr3:uid="{0F67B1E9-240E-2A4B-A708-C6C9E8D7417C}" name="Ville" dataDxfId="184"/>
    <tableColumn id="2" xr3:uid="{B652E5B0-C795-3446-80A4-16737832649E}" name="Pays" dataDxfId="183"/>
  </tableColumns>
  <tableStyleInfo name="Morpheus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725C6F7A-B4C3-B940-AD4D-8E4FA4E290B8}" name="_3.1.PQ_RECHERCHEX" displayName="_3.1.PQ_RECHERCHEX" ref="A4:C304" totalsRowShown="0" headerRowDxfId="182" dataDxfId="181">
  <autoFilter ref="A4:C304" xr:uid="{5E20CFC5-A51E-CE47-8368-360F6DB1D663}"/>
  <sortState xmlns:xlrd2="http://schemas.microsoft.com/office/spreadsheetml/2017/richdata2" ref="A5:C104">
    <sortCondition ref="A4:A104"/>
  </sortState>
  <tableColumns count="3">
    <tableColumn id="2" xr3:uid="{A277BD5A-ABD7-AB45-B2AE-40C153719927}" name="Projet" dataDxfId="180"/>
    <tableColumn id="12" xr3:uid="{43CF1A05-2B4A-1847-95AD-4412E06E1D39}" name="Ville" dataDxfId="179"/>
    <tableColumn id="6" xr3:uid="{47048CD9-C3A0-814C-9908-A1F8E795BC2C}" name="Coût total" dataDxfId="178"/>
  </tableColumns>
  <tableStyleInfo name="Morpheus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751D310B-1954-5740-A831-67296427DBCF}" name="_3.2.PQ_RECHERCHEX" displayName="_3.2.PQ_RECHERCHEX" ref="E4:F22" totalsRowShown="0" headerRowDxfId="177" dataDxfId="176">
  <autoFilter ref="E4:F22" xr:uid="{98A6059B-251D-7149-9F89-9BB95A5BD84F}"/>
  <sortState xmlns:xlrd2="http://schemas.microsoft.com/office/spreadsheetml/2017/richdata2" ref="E5:F22">
    <sortCondition ref="F4:F22"/>
  </sortState>
  <tableColumns count="2">
    <tableColumn id="1" xr3:uid="{50EA4888-FD56-624D-A348-93D31FEE5A0D}" name="Ville" dataDxfId="175"/>
    <tableColumn id="2" xr3:uid="{59374A83-E458-2747-88A6-EB9510456CE7}" name="Pays" dataDxfId="174"/>
  </tableColumns>
  <tableStyleInfo name="Morpheus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F6C0F67-0CA8-D14D-A2A2-6D2E64FDDC7F}" name="Etapes_Chantiers" displayName="Etapes_Chantiers" ref="F4:G8" totalsRowShown="0" headerRowDxfId="173" dataDxfId="172">
  <autoFilter ref="F4:G8" xr:uid="{0F6C0F67-0CA8-D14D-A2A2-6D2E64FDDC7F}"/>
  <tableColumns count="2">
    <tableColumn id="1" xr3:uid="{89530658-207D-1F45-9C77-DBD668D3C5B6}" name="N°" dataDxfId="171"/>
    <tableColumn id="2" xr3:uid="{0F040667-A2BA-3C48-9B9C-8F88D4DE4847}" name="Étape" dataDxfId="170"/>
  </tableColumns>
  <tableStyleInfo name="Style de tableau 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6FDB6D5-310E-FE4B-8EC9-11432277F65F}" name="Factures_Chantiers" displayName="Factures_Chantiers" ref="A4:D100" totalsRowShown="0" headerRowDxfId="169" dataDxfId="168">
  <autoFilter ref="A4:D100" xr:uid="{36FDB6D5-310E-FE4B-8EC9-11432277F65F}"/>
  <sortState xmlns:xlrd2="http://schemas.microsoft.com/office/spreadsheetml/2017/richdata2" ref="A5:B100">
    <sortCondition ref="A3:A100"/>
  </sortState>
  <tableColumns count="4">
    <tableColumn id="2" xr3:uid="{02897A5E-31B7-314A-A93B-25A8A7737B54}" name="Chantier" dataDxfId="167"/>
    <tableColumn id="7" xr3:uid="{B7F09506-BDFE-EB49-8A21-C58E9666946C}" name="Étape" dataDxfId="166"/>
    <tableColumn id="10" xr3:uid="{AB13485B-3400-0447-A491-AD056D5997A1}" name="Hiérarchiser_x000a_N° - Étape" dataDxfId="165"/>
    <tableColumn id="1" xr3:uid="{C1FE589D-3EEE-B349-8BEA-248EF609C81C}" name="Correction_x000a_RECHERCHEX" dataDxfId="164">
      <calculatedColumnFormula>_xlfn.XLOOKUP(Factures_Chantiers[[#This Row],[Étape]],Etapes_Chantiers[Étape],Etapes_Chantiers[N°])&amp;" - "&amp;Factures_Chantiers[[#This Row],[Étape]]</calculatedColumnFormula>
    </tableColumn>
  </tableColumns>
  <tableStyleInfo name="Morpheus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EE719F-E1C5-744C-AC6D-400A40A9A217}" name="Notes" displayName="Notes" ref="A5:E44" totalsRowShown="0" headerRowDxfId="163" dataDxfId="162">
  <autoFilter ref="A5:E44" xr:uid="{A711964F-AD2F-42C3-84CF-F2C3A58377E5}"/>
  <tableColumns count="5">
    <tableColumn id="1" xr3:uid="{9D94458E-C23D-F540-9299-56F85B7778D8}" name="Nom" dataDxfId="161"/>
    <tableColumn id="10" xr3:uid="{694CB9AC-CB4B-EB45-98D9-3CEBD1E776B2}" name="Prénom" dataDxfId="160"/>
    <tableColumn id="4" xr3:uid="{D24F4668-250E-2543-AEAA-617F3960D8EA}" name="Note / 20" dataDxfId="159"/>
    <tableColumn id="3" xr3:uid="{D44748F9-10AD-084E-B050-947AF47034A3}" name="Appréciation" dataDxfId="158">
      <calculatedColumnFormula>_xlfn.XLOOKUP(Notes[[#This Row],[Note / 20]],Mentions[Note],Mentions[Appréciation],,-1)</calculatedColumnFormula>
    </tableColumn>
    <tableColumn id="2" xr3:uid="{9E63BBD8-75E0-AF41-9B35-8BA5F1AC7517}" name="Correction" dataDxfId="157">
      <calculatedColumnFormula>_xlfn.XLOOKUP(Notes[[#This Row],[Note / 20]],Mentions[Note],Mentions[Appréciation],"Absent",-1)</calculatedColumnFormula>
    </tableColumn>
  </tableColumns>
  <tableStyleInfo name="Style de tableau 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1AD9D3E-D13C-5445-A459-0039B32F46D6}" name="Mentions" displayName="Mentions" ref="G5:H12" totalsRowShown="0" headerRowDxfId="156">
  <autoFilter ref="G5:H12" xr:uid="{C1AD9D3E-D13C-5445-A459-0039B32F46D6}"/>
  <tableColumns count="2">
    <tableColumn id="1" xr3:uid="{46354549-A761-4341-BE93-D71D7A6924E0}" name="Note"/>
    <tableColumn id="2" xr3:uid="{59E4ED0B-2C33-1248-B912-C370E985DA55}" name="Appréciation"/>
  </tableColumns>
  <tableStyleInfo name="Style de tableau 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73A3AB45-E357-4C4A-A329-D5CA88C67D1C}" name="_5.2.Filtrer_par_tranches" displayName="_5.2.Filtrer_par_tranches" ref="G5:H12" totalsRowShown="0" headerRowDxfId="155">
  <autoFilter ref="G5:H12" xr:uid="{0F6C0F67-0CA8-D14D-A2A2-6D2E64FDDC7F}"/>
  <tableColumns count="2">
    <tableColumn id="1" xr3:uid="{89892C00-8AFF-3644-A3F6-10CA18A80748}" name="Âge" dataDxfId="154"/>
    <tableColumn id="2" xr3:uid="{24AC5798-7F18-5D40-990E-12AD5BFB0F62}" name="Tranche" dataDxfId="153"/>
  </tableColumns>
  <tableStyleInfo name="Style de tableau 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4A46DAA8-D505-EC4A-B7C7-64F003697696}" name="_5.1.Filtrer_par_tranches" displayName="_5.1.Filtrer_par_tranches" ref="A5:E105" totalsRowShown="0" headerRowDxfId="152" dataDxfId="151">
  <autoFilter ref="A5:E105" xr:uid="{36FDB6D5-310E-FE4B-8EC9-11432277F65F}"/>
  <sortState xmlns:xlrd2="http://schemas.microsoft.com/office/spreadsheetml/2017/richdata2" ref="A6:E105">
    <sortCondition ref="A5:A105"/>
  </sortState>
  <tableColumns count="5">
    <tableColumn id="2" xr3:uid="{1EB81E27-9AD4-8846-A794-9010C3D67D48}" name="Prénom" dataDxfId="150"/>
    <tableColumn id="7" xr3:uid="{76E11A87-0AF4-BE48-A233-048CF64625AD}" name="Âge" dataDxfId="149"/>
    <tableColumn id="10" xr3:uid="{E57F4F54-A17A-364A-BC26-DCA61B0A217E}" name="Tranche d'âge" dataDxfId="148"/>
    <tableColumn id="1" xr3:uid="{A240A3B6-1EFA-6849-8A0D-7E901E90BC95}" name="Correction_x000a_RECHERCHEX" dataDxfId="147">
      <calculatedColumnFormula>_xlfn.XLOOKUP(_5.1.Filtrer_par_tranches[[#This Row],[Âge]],_5.2.Filtrer_par_tranches[Âge],_5.2.Filtrer_par_tranches[Tranche],,-1)</calculatedColumnFormula>
    </tableColumn>
    <tableColumn id="5" xr3:uid="{9878E76C-CFE1-1443-A64F-48A8CF2AF6C9}" name="Correction Excel &lt; 2021_x000a_RECHERCHEV" dataDxfId="146">
      <calculatedColumnFormula>VLOOKUP(_5.1.Filtrer_par_tranches[[#This Row],[Âge]],_5.2.Filtrer_par_tranches[],2)</calculatedColumnFormula>
    </tableColumn>
  </tableColumns>
  <tableStyleInfo name="Morpheus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EEC8C71-8025-5044-ADA1-9A07C319E4C3}" name="_7.1.Liste_nouvelles_données" displayName="_7.1.Liste_nouvelles_données" ref="A5:B25" totalsRowShown="0" headerRowDxfId="145" dataDxfId="144">
  <autoFilter ref="A5:B25" xr:uid="{1A68054E-D866-334D-A928-F8AAC8F13865}"/>
  <tableColumns count="2">
    <tableColumn id="1" xr3:uid="{09BAE1C1-FF4F-704A-9E96-64315DA6C1B2}" name="N° article" dataDxfId="143"/>
    <tableColumn id="2" xr3:uid="{26FA76B6-E1C7-9A46-BE6A-7723CD8D0968}" name="Libellé" dataDxfId="142"/>
  </tableColumns>
  <tableStyleInfo name="Morpheus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993151E9-F707-9C47-A109-F18643D1DF23}" name="_7.2.Liste_nouvelles_données" displayName="_7.2.Liste_nouvelles_données" ref="D5:H29" totalsRowShown="0" headerRowDxfId="141" dataDxfId="140">
  <autoFilter ref="D5:H29" xr:uid="{993151E9-F707-9C47-A109-F18643D1DF23}"/>
  <sortState xmlns:xlrd2="http://schemas.microsoft.com/office/spreadsheetml/2017/richdata2" ref="D6:G29">
    <sortCondition ref="E5:E29"/>
  </sortState>
  <tableColumns count="5">
    <tableColumn id="1" xr3:uid="{7F9815C5-0BD1-D041-9111-58CBFC8E548C}" name="N° article" dataDxfId="139"/>
    <tableColumn id="2" xr3:uid="{9AD83F39-1AF8-CA4B-B41E-56CA53188C86}" name="Libellé" dataDxfId="138"/>
    <tableColumn id="4" xr3:uid="{EFD209B3-0FF3-7047-8DAE-A116B048BC5C}" name="Nouvel article ?" dataDxfId="137"/>
    <tableColumn id="3" xr3:uid="{6273CF37-39FD-0D44-BD8F-6C7A3F07FBE1}" name="Correction_x000a_Nouvel article ?" dataDxfId="136">
      <calculatedColumnFormula>_xlfn.XLOOKUP(_7.2.Liste_nouvelles_données[[#This Row],[N° article]],_7.1.Liste_nouvelles_données[N° article],_7.1.Liste_nouvelles_données[Libellé],"Nouvel article")</calculatedColumnFormula>
    </tableColumn>
    <tableColumn id="5" xr3:uid="{1D25BFAB-094E-1944-AA30-EA9A4C07D0C0}" name="Excel &lt; 2021_x000a_Nouvel article ?" dataDxfId="135">
      <calculatedColumnFormula>IFERROR(VLOOKUP(_7.2.Liste_nouvelles_données[[#This Row],[N° article]],_7.1.Liste_nouvelles_données[],2,FALSE),"Nouvel article")</calculatedColumnFormula>
    </tableColumn>
  </tableColumns>
  <tableStyleInfo name="Morpheus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DFC71710-A58F-FE4E-AC78-B30ADC999912}" name="Tarifs" displayName="Tarifs" ref="A6:C16" totalsRowShown="0" headerRowDxfId="134" dataDxfId="133">
  <autoFilter ref="A6:C16" xr:uid="{1A68054E-D866-334D-A928-F8AAC8F13865}"/>
  <tableColumns count="3">
    <tableColumn id="1" xr3:uid="{C1EB51A0-E491-FB45-93AE-59C2972435DC}" name="N° article" dataDxfId="132"/>
    <tableColumn id="2" xr3:uid="{69C00BFE-6BB2-1844-BF82-01A734CA81C0}" name="Tarif 2030" dataDxfId="131"/>
    <tableColumn id="3" xr3:uid="{CB5FF8CF-5D82-C747-9711-551BA08B070D}" name="Tarif 2031" dataDxfId="130"/>
  </tableColumns>
  <tableStyleInfo name="Morpheus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82AB4AB-0466-BC40-B5B1-00888572657A}" name="Nouveau_Tarif" displayName="Nouveau_Tarif" ref="E6:G21" totalsRowShown="0" headerRowDxfId="129" dataDxfId="128">
  <autoFilter ref="E6:G21" xr:uid="{082AB4AB-0466-BC40-B5B1-00888572657A}"/>
  <tableColumns count="3">
    <tableColumn id="1" xr3:uid="{AE85A09A-8AA2-6F46-AADF-7AED2A18C99B}" name="N° article" dataDxfId="127"/>
    <tableColumn id="3" xr3:uid="{1BF35EF3-7D96-FE42-8769-37E5CFE96930}" name="Tarif appliqué" dataDxfId="126">
      <calculatedColumnFormula>IF(_xlfn.XLOOKUP(Nouveau_Tarif[[#This Row],[N° article]],Tarifs[N° article],Tarifs[Tarif 2031],"N° Inconnu")=0,_xlfn.XLOOKUP(Nouveau_Tarif[[#This Row],[N° article]],Tarifs[N° article],Tarifs[Tarif 2030],"N° Inconnu"),_xlfn.XLOOKUP(Nouveau_Tarif[[#This Row],[N° article]],Tarifs[N° article],Tarifs[Tarif 2031],"N° Inconnu"))</calculatedColumnFormula>
    </tableColumn>
    <tableColumn id="2" xr3:uid="{1BFC39D2-6B7F-0E41-8F31-721A252AC184}" name="Correction_x000a_Tarif appliqué" dataDxfId="125">
      <calculatedColumnFormula>IF(_xlfn.XLOOKUP(Nouveau_Tarif[[#This Row],[N° article]],Tarifs[N° article],Tarifs[Tarif 2031],"N° article inconnu")=0,
_xlfn.XLOOKUP(Nouveau_Tarif[[#This Row],[N° article]],Tarifs[N° article],Tarifs[Tarif 2030],"N° article inconnu"),
_xlfn.XLOOKUP(Nouveau_Tarif[[#This Row],[N° article]],Tarifs[N° article],Tarifs[Tarif 2031],"N° article inconnu"))</calculatedColumnFormula>
    </tableColumn>
  </tableColumns>
  <tableStyleInfo name="Morpheus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75819D8-F552-824E-B7D7-83C5C689708B}" name="_9.INDEX_EQUIVX" displayName="_9.INDEX_EQUIVX" ref="A9:N32" totalsRowShown="0" headerRowDxfId="124" dataDxfId="123">
  <autoFilter ref="A9:N32" xr:uid="{1A68054E-D866-334D-A928-F8AAC8F13865}"/>
  <sortState xmlns:xlrd2="http://schemas.microsoft.com/office/spreadsheetml/2017/richdata2" ref="A10:N32">
    <sortCondition ref="A9:A32"/>
  </sortState>
  <tableColumns count="14">
    <tableColumn id="1" xr3:uid="{2C86C5E6-0DDC-0C48-91AF-7F2581FC18AF}" name="Client" dataDxfId="122"/>
    <tableColumn id="2" xr3:uid="{D0269DCC-EBE8-2643-96B9-863257522132}" name="Janvier" dataDxfId="121"/>
    <tableColumn id="3" xr3:uid="{E3F8CA16-B58E-D04B-8014-875FB0BA9D2D}" name="Février" dataDxfId="120"/>
    <tableColumn id="4" xr3:uid="{8B25F4B0-CF01-DE4F-814D-C66BD9A09161}" name="Mars" dataDxfId="119"/>
    <tableColumn id="5" xr3:uid="{4E16777B-C720-854E-9D8D-20CF33A05401}" name="Avril" dataDxfId="118"/>
    <tableColumn id="6" xr3:uid="{A3ED0311-CC39-CB4A-8499-C7D63FC6B5C9}" name="Mai" dataDxfId="117"/>
    <tableColumn id="7" xr3:uid="{FE13C24B-4C68-5B4C-9EC8-988CDA87E601}" name="Juin" dataDxfId="116"/>
    <tableColumn id="8" xr3:uid="{2F90E6E6-60F8-3B4C-B931-674C19006622}" name="Juillet" dataDxfId="115"/>
    <tableColumn id="9" xr3:uid="{183D6C41-35AE-6F46-8F5A-69ECF39E9B42}" name="Août" dataDxfId="114"/>
    <tableColumn id="10" xr3:uid="{9735027A-85C6-604C-B4C1-413F676964AB}" name="Septembre" dataDxfId="113"/>
    <tableColumn id="11" xr3:uid="{89193D11-B43B-0E46-85ED-D71600F99C51}" name="Octobre" dataDxfId="112"/>
    <tableColumn id="12" xr3:uid="{DBBFF6EF-AC82-0548-A350-15D792184173}" name="Novembre" dataDxfId="111"/>
    <tableColumn id="13" xr3:uid="{5384A96B-467D-5340-8761-94FC1433BE9D}" name="Décembre" dataDxfId="110"/>
    <tableColumn id="14" xr3:uid="{72D6572F-0535-E940-8F2A-AA72F6A2C1F2}" name="Total" dataDxfId="109">
      <calculatedColumnFormula>SUM(_9.INDEX_EQUIVX[[#This Row],[Janvier]:[Décembre]])</calculatedColumnFormula>
    </tableColumn>
  </tableColumns>
  <tableStyleInfo name="Style de tableau 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2B723FD3-5FA0-9149-8962-1222286AFA21}" name="_10.2.INDEX_EQUIVX" displayName="_10.2.INDEX_EQUIVX" ref="H7:L13" totalsRowShown="0" headerRowDxfId="108" dataDxfId="107">
  <autoFilter ref="H7:L13" xr:uid="{1A68054E-D866-334D-A928-F8AAC8F13865}"/>
  <sortState xmlns:xlrd2="http://schemas.microsoft.com/office/spreadsheetml/2017/richdata2" ref="H8:L13">
    <sortCondition ref="H7:H13"/>
  </sortState>
  <tableColumns count="5">
    <tableColumn id="1" xr3:uid="{463D6FBC-7B72-0B40-9F2C-B0DBBD7BCFD5}" name="Poids colis_x000a_jusqu'à ... kg" dataDxfId="106"/>
    <tableColumn id="2" xr3:uid="{88CDBBDA-4958-A148-9C7F-B4C68740617D}" name="France" dataDxfId="105"/>
    <tableColumn id="3" xr3:uid="{AA069402-B31C-8940-AAD6-EAB31A4C6FA2}" name="Allemagne" dataDxfId="104"/>
    <tableColumn id="4" xr3:uid="{2DEC999E-F7C8-8146-9D65-A9433D1FBDCD}" name="Espagne" dataDxfId="103"/>
    <tableColumn id="6" xr3:uid="{3A574A38-E132-B44B-83A7-C17C489CBB4E}" name="Italie" dataDxfId="102"/>
  </tableColumns>
  <tableStyleInfo name="Style de tableau 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2414553C-0C67-B946-BB0D-36B76C29EB4C}" name="_10.1.INDEX_EQUIVX" displayName="_10.1.INDEX_EQUIVX" ref="A7:F107" totalsRowShown="0" headerRowDxfId="101" dataDxfId="100">
  <autoFilter ref="A7:F107" xr:uid="{2414553C-0C67-B946-BB0D-36B76C29EB4C}"/>
  <tableColumns count="6">
    <tableColumn id="1" xr3:uid="{3A9C6F99-D24B-1B4D-AD65-E4DFFF18C157}" name="Livraison" dataDxfId="99"/>
    <tableColumn id="2" xr3:uid="{6B41FE05-BBA1-414C-B7CE-DEBCEDA041B5}" name="Poids colis (en kg)" dataDxfId="98"/>
    <tableColumn id="3" xr3:uid="{94C0A4E1-2B8D-AC46-9D09-A588FFCDE049}" name="Pays de livraison" dataDxfId="97"/>
    <tableColumn id="4" xr3:uid="{780C7369-81AB-FC4A-AED5-9309617EE3F6}" name="Coût livraison" dataDxfId="96"/>
    <tableColumn id="5" xr3:uid="{5A1BBF54-40AE-1F41-B16B-9175BC07B09F}" name="Correction_x000a_Coût livraison" dataDxfId="95">
      <calculatedColumnFormula array="1">INDEX(_10.2.INDEX_EQUIVX[],_xlfn.XMATCH(_10.1.INDEX_EQUIVX[[#This Row],[Poids colis (en kg)]],_10.2.INDEX_EQUIVX[Poids colis
jusqu''à ... kg],1),_xlfn.XMATCH(_10.1.INDEX_EQUIVX[[#This Row],[Pays de livraison]],_10.2.INDEX_EQUIVX[#Headers]))</calculatedColumnFormula>
    </tableColumn>
    <tableColumn id="7" xr3:uid="{B16A70F9-3392-9E46-B3A8-C31DAADC5584}" name="Excel &lt; 2021_x000a_Coût livraison" dataDxfId="94">
      <calculatedColumnFormula>INDEX(_10.2.INDEX_EQUIVX[],MATCH(_10.1.INDEX_EQUIVX[[#This Row],[Poids colis (en kg)]],_10.2.INDEX_EQUIVX[Poids colis
jusqu''à ... kg],-1),MATCH(_10.1.INDEX_EQUIVX[[#This Row],[Pays de livraison]],_10.2.INDEX_EQUIVX[#Headers],0))</calculatedColumnFormula>
    </tableColumn>
  </tableColumns>
  <tableStyleInfo name="Style de tableau 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834C69C-0942-954B-A009-8BA30B938DB8}" name="_11.Supprimer_lignes_vides" displayName="_11.Supprimer_lignes_vides" ref="A4:C34" totalsRowShown="0" headerRowDxfId="93" dataDxfId="92">
  <autoFilter ref="A4:C34" xr:uid="{A711964F-AD2F-42C3-84CF-F2C3A58377E5}"/>
  <tableColumns count="3">
    <tableColumn id="1" xr3:uid="{CED8C2F3-FA44-7C4D-879B-52D800CD63C0}" name="Nom" dataDxfId="91"/>
    <tableColumn id="10" xr3:uid="{15FA0CAC-BD01-7B45-A490-6C6D73EC6FBB}" name="Prénom" dataDxfId="90"/>
    <tableColumn id="4" xr3:uid="{FC520E28-3CAC-2648-8883-29BF65BE89AF}" name="Mail" dataDxfId="89"/>
  </tableColumns>
  <tableStyleInfo name="Style de tableau 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6265C20-102E-3D4F-AFE4-4500E358F1B2}" name="_12.Liste_données_uniques" displayName="_12.Liste_données_uniques" ref="A6:E45" totalsRowShown="0" headerRowDxfId="88" dataDxfId="87">
  <autoFilter ref="A6:E45" xr:uid="{A711964F-AD2F-42C3-84CF-F2C3A58377E5}"/>
  <sortState xmlns:xlrd2="http://schemas.microsoft.com/office/spreadsheetml/2017/richdata2" ref="A7:E45">
    <sortCondition ref="E6:E45"/>
  </sortState>
  <tableColumns count="5">
    <tableColumn id="1" xr3:uid="{EBECC41A-EBAF-9843-9C5B-B168F906D0C3}" name="Nom" dataDxfId="86"/>
    <tableColumn id="10" xr3:uid="{D9708A46-AA9F-A04A-9D73-27412D2758FD}" name="Prénom" dataDxfId="85"/>
    <tableColumn id="4" xr3:uid="{68231FF4-473F-2B45-B2D8-A9F18615B386}" name="Mail" dataDxfId="84"/>
    <tableColumn id="11" xr3:uid="{6347618C-C6C8-E84A-8D5A-17661DE91786}" name="Nom et prénom" dataDxfId="83"/>
    <tableColumn id="9" xr3:uid="{33743B97-F3C4-034F-8A38-B08E994938DA}" name="Correction" dataDxfId="82">
      <calculatedColumnFormula>_12.Liste_données_uniques[[#This Row],[Nom]]&amp;" "&amp;_12.Liste_données_uniques[[#This Row],[Prénom]]</calculatedColumnFormula>
    </tableColumn>
  </tableColumns>
  <tableStyleInfo name="Style de tableau 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55F9DBA-F046-FB42-9EBD-632976BA5BBC}" name="Emails" displayName="Emails" ref="A13:G50" totalsRowShown="0" headerRowDxfId="81" dataDxfId="80">
  <autoFilter ref="A13:G50" xr:uid="{A711964F-AD2F-42C3-84CF-F2C3A58377E5}"/>
  <tableColumns count="7">
    <tableColumn id="1" xr3:uid="{4D2AC922-B384-AD4E-912A-9E6AE29D5463}" name="Nom" dataDxfId="79"/>
    <tableColumn id="10" xr3:uid="{97EC1575-9B89-5641-B188-308F8DC4FE1D}" name="Prénom" dataDxfId="78"/>
    <tableColumn id="4" xr3:uid="{72E35935-3ED5-0A4A-B1D1-2C12C8A00385}" name="Mail" dataDxfId="77"/>
    <tableColumn id="3" xr3:uid="{94A5411E-3BA9-E745-8F93-7C01057534BD}" name="JOINDRE.TEXTE" dataDxfId="76">
      <calculatedColumnFormula>Emails[[#This Row],[Nom]]&amp;" - "&amp;Emails[[#This Row],[Prénom]]&amp;" - "&amp;Emails[[#This Row],[Mail]]</calculatedColumnFormula>
    </tableColumn>
    <tableColumn id="9" xr3:uid="{74895065-A107-7D48-9565-24896E10D7E2}" name="Doublon ?" dataDxfId="75">
      <calculatedColumnFormula>IF(COUNTIF(Emails[JOINDRE.TEXTE],Emails[[#This Row],[JOINDRE.TEXTE]])=1,"Valeur unique","Doublon")</calculatedColumnFormula>
    </tableColumn>
    <tableColumn id="5" xr3:uid="{1511A5B4-4393-4647-B9C4-8BAC57D0F4F8}" name="Correction_x000a_JOINDRE.TEXTE" dataDxfId="74">
      <calculatedColumnFormula>_xlfn.TEXTJOIN(" - ",TRUE,Emails[[#This Row],[Nom]:[Mail]])</calculatedColumnFormula>
    </tableColumn>
    <tableColumn id="2" xr3:uid="{AE6B911E-0BE9-8B4B-950C-7725523CF404}" name="Correction_x000a_Doublon ?" dataDxfId="73">
      <calculatedColumnFormula>IF(Emails[[#This Row],[Nom]]="","",IF(COUNTIFS(Emails[Correction
JOINDRE.TEXTE],Emails[[#This Row],[Correction
JOINDRE.TEXTE]])=1,"Valeur unique","Doublon"))</calculatedColumnFormula>
    </tableColumn>
  </tableColumns>
  <tableStyleInfo name="Style de tableau 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780A075-C9CA-4F4E-8E56-A013AD8898D3}" name="_14.Calculer_heures" displayName="_14.Calculer_heures" ref="A8:E13" totalsRowShown="0" headerRowDxfId="72" dataDxfId="71">
  <autoFilter ref="A8:E13" xr:uid="{A711964F-AD2F-42C3-84CF-F2C3A58377E5}"/>
  <tableColumns count="5">
    <tableColumn id="1" xr3:uid="{EE0C2E88-235E-D94C-9D5B-2F7EFBFE2055}" name="Jour" dataDxfId="70"/>
    <tableColumn id="10" xr3:uid="{E8775D75-DF82-1542-A3DD-8D624E17E3C9}" name="Heures travaillées" dataDxfId="69"/>
    <tableColumn id="4" xr3:uid="{E85E2137-2F47-4149-80E8-979CBB8B9B34}" name="Taux horaire" dataDxfId="68"/>
    <tableColumn id="2" xr3:uid="{00143F3C-23F3-164B-A514-1615C331B21A}" name="Montant facturé" dataDxfId="67">
      <calculatedColumnFormula>_14.Calculer_heures[[#This Row],[Taux horaire]]*_14.Calculer_heures[[#This Row],[Heures travaillées]]</calculatedColumnFormula>
    </tableColumn>
    <tableColumn id="3" xr3:uid="{AAAF0A9B-2055-C44E-B0D0-A345A705CEFE}" name="Correction" dataDxfId="66">
      <calculatedColumnFormula>_14.Calculer_heures[[#This Row],[Heures travaillées]]*24*_14.Calculer_heures[[#This Row],[Taux horaire]]</calculatedColumnFormula>
    </tableColumn>
  </tableColumns>
  <tableStyleInfo name="Style de tableau 1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2E7983E-DB87-C448-8A4D-AC13E4236389}" name="Ventes" displayName="Ventes" ref="A7:C19" totalsRowShown="0" headerRowDxfId="65" dataDxfId="64" totalsRowDxfId="63">
  <autoFilter ref="A7:C19" xr:uid="{A711964F-AD2F-42C3-84CF-F2C3A58377E5}"/>
  <tableColumns count="3">
    <tableColumn id="1" xr3:uid="{E4561564-CE6D-7F4C-807D-400A6B15AE86}" name="Prix unitaire" dataDxfId="62" totalsRowDxfId="61"/>
    <tableColumn id="10" xr3:uid="{FFD92038-E87C-FE46-8636-137F7B1C4B93}" name="Quantité" dataDxfId="60" totalsRowDxfId="59"/>
    <tableColumn id="2" xr3:uid="{12E4B201-B7AF-5244-90D3-96BFD4EF136B}" name="Contrôle" dataDxfId="58" totalsRowDxfId="57">
      <calculatedColumnFormula>Ventes[[#This Row],[Prix unitaire]]*Ventes[[#This Row],[Quantité]]</calculatedColumnFormula>
    </tableColumn>
  </tableColumns>
  <tableStyleInfo name="Style de tableau 1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85DD375F-8665-5A41-B284-E97DC4E6CC32}" name="NotesCoefs" displayName="NotesCoefs" ref="A7:C17" totalsRowShown="0" headerRowDxfId="56" dataDxfId="55" totalsRowDxfId="54">
  <autoFilter ref="A7:C17" xr:uid="{A711964F-AD2F-42C3-84CF-F2C3A58377E5}"/>
  <sortState xmlns:xlrd2="http://schemas.microsoft.com/office/spreadsheetml/2017/richdata2" ref="A8:C17">
    <sortCondition descending="1" ref="B7:B17"/>
  </sortState>
  <tableColumns count="3">
    <tableColumn id="1" xr3:uid="{8BEE23C8-C428-964A-A96E-68C598D3B6B2}" name="Matière" dataDxfId="53" totalsRowDxfId="52"/>
    <tableColumn id="10" xr3:uid="{D18D0A46-0D20-D44B-BBC7-F6584109FCE3}" name="Coefficient" dataDxfId="51" totalsRowDxfId="50"/>
    <tableColumn id="2" xr3:uid="{AE2A118C-7A5B-DC47-ABF5-7F425952F332}" name="Note obtenue" dataDxfId="49" totalsRowDxfId="48"/>
  </tableColumns>
  <tableStyleInfo name="Style de tableau 1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F02F90F-3823-734C-B95B-7FB9522AA704}" name="SommeCumulée" displayName="SommeCumulée" ref="A4:D16" totalsRowShown="0" headerRowDxfId="47" dataDxfId="46">
  <autoFilter ref="A4:D16" xr:uid="{A711964F-AD2F-42C3-84CF-F2C3A58377E5}"/>
  <tableColumns count="4">
    <tableColumn id="1" xr3:uid="{2598698D-A2CC-3349-9CAB-CD41B7ACD67A}" name="Mois" dataDxfId="45"/>
    <tableColumn id="10" xr3:uid="{861F2481-508C-7A43-8E77-5F0319CED170}" name="Chiffre d'affaires" dataDxfId="44"/>
    <tableColumn id="4" xr3:uid="{3E9F3943-7511-2C48-8D49-C65B220F31AB}" name="Somme cumulée" dataDxfId="43">
      <calculatedColumnFormula>SUM($B$5:B5)</calculatedColumnFormula>
    </tableColumn>
    <tableColumn id="3" xr3:uid="{6285F984-4C40-7A4C-9101-D99535572395}" name="Correction" dataDxfId="42">
      <calculatedColumnFormula>SUM(B$4:B5)</calculatedColumnFormula>
    </tableColumn>
  </tableColumns>
  <tableStyleInfo name="Style de tableau 1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5CC0E8E-AD44-9B47-878F-1AE0A63961A9}" name="_18.Calculer_ce_qui_contient" displayName="_18.Calculer_ce_qui_contient" ref="A13:J104" totalsRowShown="0" headerRowDxfId="41" dataDxfId="40">
  <autoFilter ref="A13:J104" xr:uid="{A711964F-AD2F-42C3-84CF-F2C3A58377E5}"/>
  <sortState xmlns:xlrd2="http://schemas.microsoft.com/office/spreadsheetml/2017/richdata2" ref="A14:D52">
    <sortCondition ref="D13:D52"/>
  </sortState>
  <tableColumns count="10">
    <tableColumn id="1" xr3:uid="{E59F6318-485E-2048-A33F-95F4608C5002}" name="Produit vendu" dataDxfId="39"/>
    <tableColumn id="10" xr3:uid="{4BB7F452-B6DA-3D41-A93D-285CCE553AA2}" name="Quantité vendue" dataDxfId="38"/>
    <tableColumn id="4" xr3:uid="{9F66629D-AFE5-AD4D-B254-0C828D46B5C9}" name="Prix unitaire" dataDxfId="37"/>
    <tableColumn id="11" xr3:uid="{BBB5AC35-14B9-DF40-94C6-3E529ABF82BA}" name="CA HT" dataDxfId="36">
      <calculatedColumnFormula>_18.Calculer_ce_qui_contient[[#This Row],[Quantité vendue]]*_18.Calculer_ce_qui_contient[[#This Row],[Prix unitaire]]</calculatedColumnFormula>
    </tableColumn>
    <tableColumn id="3" xr3:uid="{B3387D58-E7F5-AC48-9B23-F3796D5FB2E7}" name="Extraire le produit" dataDxfId="35"/>
    <tableColumn id="5" xr3:uid="{7004AEE7-9C4E-5240-835F-D54EE14AC0F1}" name="Extraire la taille" dataDxfId="34"/>
    <tableColumn id="6" xr3:uid="{CE7F78A4-31C4-F04B-B816-FA5A7B692A36}" name="Correction_x000a_Extraire le produit" dataDxfId="33">
      <calculatedColumnFormula>IF(COUNTIFS(_18.Calculer_ce_qui_contient[[#This Row],[Produit vendu]],"Tee-shirt*")=1,_xlfn.TEXTBEFORE(_18.Calculer_ce_qui_contient[[#This Row],[Produit vendu]],"-",2),_xlfn.TEXTBEFORE(_18.Calculer_ce_qui_contient[[#This Row],[Produit vendu]],"-"))</calculatedColumnFormula>
    </tableColumn>
    <tableColumn id="7" xr3:uid="{24E986AE-2FFD-AE41-AF0E-00040B607FD9}" name="Correction_x000a_Extraire la taille" dataDxfId="32">
      <calculatedColumnFormula>IF(COUNTIFS(_18.Calculer_ce_qui_contient[[#This Row],[Produit vendu]],"Tee-shirt*")=1,_xlfn.TEXTAFTER(_18.Calculer_ce_qui_contient[[#This Row],[Produit vendu]],"-",2),_xlfn.TEXTAFTER(_18.Calculer_ce_qui_contient[[#This Row],[Produit vendu]],"-"))</calculatedColumnFormula>
    </tableColumn>
    <tableColumn id="8" xr3:uid="{3D20D8C9-5C6C-9343-935A-DF1D204D96C8}" name="Excel &lt; 2021_x000a_Extraire le produit" dataDxfId="31">
      <calculatedColumnFormula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calculatedColumnFormula>
    </tableColumn>
    <tableColumn id="12" xr3:uid="{1AB62243-01FB-6747-8E8A-1712314C701F}" name="Excel &lt; 2021_x000a_Extraire la taille" dataDxfId="30">
      <calculatedColumnFormula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calculatedColumnFormula>
    </tableColumn>
  </tableColumns>
  <tableStyleInfo name="Style de tableau 1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6B5F782-912D-DD47-BCB8-6690DAD5E905}" name="SIContient" displayName="SIContient" ref="A6:E25" totalsRowShown="0" headerRowDxfId="29" dataDxfId="28">
  <autoFilter ref="A6:E25" xr:uid="{A711964F-AD2F-42C3-84CF-F2C3A58377E5}"/>
  <tableColumns count="5">
    <tableColumn id="1" xr3:uid="{6ED57322-19E0-AE4B-A5BA-9CF023A11F76}" name="Commentaire" dataDxfId="27"/>
    <tableColumn id="5" xr3:uid="{2AF99C90-70A1-1B42-B4E6-14B1B81DE3DA}" name="Valide ?" dataDxfId="26">
      <calculatedColumnFormula>IF(OR(COUNTIF(SIContient[[#This Row],[Commentaire]],"*90*"),COUNTIF(SIContient[[#This Row],[Commentaire]],"*3000*"),COUNTIF(SIContient[[#This Row],[Commentaire]],"*1000*"))=TRUE,"Valide","Non Valide")</calculatedColumnFormula>
    </tableColumn>
    <tableColumn id="3" xr3:uid="{6C35CEE9-D575-F14E-AA6A-8BC1BD60F8D6}" name="Données converties en texte" dataDxfId="25"/>
    <tableColumn id="7" xr3:uid="{1340FA27-0B77-8144-BBF9-67183BA2CF05}" name="Correction 1 - CHERCHE_x000a_Valide ?" dataDxfId="24">
      <calculatedColumnFormula>IF(OR(ISNUMBER(SEARCH("*3000*",SIContient[[#This Row],[Données converties en texte]])),ISNUMBER(SEARCH("*1000*",SIContient[[#This Row],[Données converties en texte]])),ISNUMBER(SEARCH("*90*",SIContient[[#This Row],[Données converties en texte]]))),"Valide","Non valide")</calculatedColumnFormula>
    </tableColumn>
    <tableColumn id="2" xr3:uid="{33F13AF1-BB99-084D-BA2D-79BF961DA6BC}" name="Correction 2 - NB.SI.ENS_x000a_Valide ?" dataDxfId="23">
      <calculatedColumnFormula>IF(OR(COUNTIFS(SIContient[[#This Row],[Données converties en texte]],"*3000*")=1,COUNTIFS(SIContient[[#This Row],[Données converties en texte]],"*1000*")=1,COUNTIFS(SIContient[[#This Row],[Données converties en texte]],"*90*")=1),"Valide","Non valide")</calculatedColumnFormula>
    </tableColumn>
  </tableColumns>
  <tableStyleInfo name="Style de tableau 1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C7F5A8-2785-2E49-8190-E5B9564C3ADD}" name="_20.Créer_adresse_mail" displayName="_20.Créer_adresse_mail" ref="A5:D44" totalsRowShown="0" headerRowDxfId="22" dataDxfId="21">
  <autoFilter ref="A5:D44" xr:uid="{A711964F-AD2F-42C3-84CF-F2C3A58377E5}"/>
  <tableColumns count="4">
    <tableColumn id="1" xr3:uid="{4231916C-C025-8F44-B47B-9BE853C837F9}" name="Nom" dataDxfId="20"/>
    <tableColumn id="10" xr3:uid="{66150DBA-F823-4041-A6E3-6D0883036013}" name="Prénom" dataDxfId="19"/>
    <tableColumn id="4" xr3:uid="{EC86340C-E681-8F4C-8ECF-376778911B71}" name="Adresse mail" dataDxfId="18"/>
    <tableColumn id="2" xr3:uid="{93F9657D-2E71-954C-B055-F2357DEC5E60}" name="Correction" dataDxfId="17">
      <calculatedColumnFormula>LOWER(LEFT(_20.Créer_adresse_mail[[#This Row],[Prénom]],1))&amp;"."&amp;SUBSTITUTE(LOWER(_20.Créer_adresse_mail[[#This Row],[Nom]]),"é","e")&amp;"@gmail.com"</calculatedColumnFormula>
    </tableColumn>
  </tableColumns>
  <tableStyleInfo name="Style de tableau 1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9592EF-B2BC-1740-9D45-5AC61E534078}" name="_21.Nettoyer_données" displayName="_21.Nettoyer_données" ref="A6:J45" totalsRowShown="0" headerRowDxfId="16" dataDxfId="15">
  <autoFilter ref="A6:J45" xr:uid="{A711964F-AD2F-42C3-84CF-F2C3A58377E5}"/>
  <sortState xmlns:xlrd2="http://schemas.microsoft.com/office/spreadsheetml/2017/richdata2" ref="A7:E45">
    <sortCondition ref="E6:E45"/>
  </sortState>
  <tableColumns count="10">
    <tableColumn id="1" xr3:uid="{101EB62F-DC60-D440-8BD1-04204FC7ABD4}" name="Extraction" dataDxfId="14"/>
    <tableColumn id="3" xr3:uid="{8D2207BC-FA94-DF4F-9FA5-8E623A559F47}" name="Nom" dataDxfId="13"/>
    <tableColumn id="2" xr3:uid="{88577B5C-C32B-F542-8429-35D221F46726}" name="1er prénom" dataDxfId="12"/>
    <tableColumn id="11" xr3:uid="{868C96BA-0650-6C46-9AD6-3049A5FF5838}" name="Nom et 1er prénom" dataDxfId="11"/>
    <tableColumn id="9" xr3:uid="{E7CE1896-8E27-7F43-9506-19A3C3411DD8}" name="Correction_x000a_Nom" dataDxfId="10">
      <calculatedColumnFormula>_xlfn.TEXTBEFORE(_21.Nettoyer_données[[#This Row],[Extraction]],"/")</calculatedColumnFormula>
    </tableColumn>
    <tableColumn id="5" xr3:uid="{7EA3968E-4284-B449-A561-35E592EB344B}" name="Correction_x000a_Prénom" dataDxfId="9">
      <calculatedColumnFormula>IFERROR(_xlfn.TEXTBEFORE(_xlfn.TEXTAFTER(_21.Nettoyer_données[[#This Row],[Extraction]],"/")," "),_xlfn.TEXTAFTER(_21.Nettoyer_données[[#This Row],[Extraction]],"/"))</calculatedColumnFormula>
    </tableColumn>
    <tableColumn id="6" xr3:uid="{63D64162-6BE2-0640-84E1-8CC28B9D9EA2}" name="Correction_x000a_Nom et 1er prénom" dataDxfId="8">
      <calculatedColumnFormula>_21.Nettoyer_données[[#This Row],[Correction
Nom]]&amp;" "&amp;_21.Nettoyer_données[[#This Row],[Correction
Prénom]]</calculatedColumnFormula>
    </tableColumn>
    <tableColumn id="7" xr3:uid="{A29629D0-1D33-CC49-BA68-305E28F46E7C}" name="Excel &lt; 2021_x000a_Nom" dataDxfId="7">
      <calculatedColumnFormula>LEFT(_21.Nettoyer_données[[#This Row],[Extraction]],FIND("/",_21.Nettoyer_données[[#This Row],[Extraction]])-1)</calculatedColumnFormula>
    </tableColumn>
    <tableColumn id="8" xr3:uid="{EFD1FE23-989A-3E4C-873D-07A115DF2242}" name="Excel &lt; 2021_x000a_Prénom" dataDxfId="6">
      <calculatedColumnFormula>IFERROR(LEFT(RIGHT(_21.Nettoyer_données[[#This Row],[Extraction]],LEN(_21.Nettoyer_données[[#This Row],[Extraction]])-FIND("/",_21.Nettoyer_données[[#This Row],[Extraction]])),FIND(" ",RIGHT(_21.Nettoyer_données[[#This Row],[Extraction]],LEN(_21.Nettoyer_données[[#This Row],[Extraction]])-FIND("/",_21.Nettoyer_données[[#This Row],[Extraction]])))-1),RIGHT(_21.Nettoyer_données[[#This Row],[Extraction]],LEN(_21.Nettoyer_données[[#This Row],[Extraction]])-FIND("/",_21.Nettoyer_données[[#This Row],[Extraction]])))</calculatedColumnFormula>
    </tableColumn>
    <tableColumn id="10" xr3:uid="{4818BBF0-09C9-D04E-A18A-E65FA4971C61}" name="Excel &lt; 2021_x000a_Nom et 1er prénom" dataDxfId="5">
      <calculatedColumnFormula>_21.Nettoyer_données[[#This Row],[Excel &lt; 2021
Nom]]&amp;" "&amp;_21.Nettoyer_données[[#This Row],[Excel &lt; 2021
Prénom]]</calculatedColumnFormula>
    </tableColumn>
  </tableColumns>
  <tableStyleInfo name="Style de tableau 1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4460B4A-E80F-B343-8D02-DB7975C3DEA5}" name="_22.PQ" displayName="_22.PQ" ref="A4:A24" totalsRowShown="0" headerRowDxfId="4" dataDxfId="3">
  <autoFilter ref="A4:A24" xr:uid="{A711964F-AD2F-42C3-84CF-F2C3A58377E5}"/>
  <tableColumns count="1">
    <tableColumn id="1" xr3:uid="{789A9DF6-AA86-C344-8BF6-105F66262C49}" name="Extraction" dataDxfId="2"/>
  </tableColumns>
  <tableStyleInfo name="Style de tableau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table" Target="../tables/table1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20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Relationship Id="rId4" Type="http://schemas.microsoft.com/office/2007/relationships/slicer" Target="../slicers/slicer1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0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4D00E-32C4-794A-8EEC-D972BA5FE794}">
  <sheetPr>
    <tabColor theme="9" tint="0.79998168889431442"/>
  </sheetPr>
  <dimension ref="A1:PW164"/>
  <sheetViews>
    <sheetView showGridLines="0" zoomScaleNormal="100" workbookViewId="0">
      <pane ySplit="5" topLeftCell="A6" activePane="bottomLeft" state="frozen"/>
      <selection activeCell="A5" sqref="A5"/>
      <selection pane="bottomLeft" activeCell="D11" sqref="A6:F162"/>
    </sheetView>
  </sheetViews>
  <sheetFormatPr baseColWidth="10" defaultColWidth="10.77734375" defaultRowHeight="14.4"/>
  <cols>
    <col min="1" max="1" width="15.77734375" style="21" customWidth="1"/>
    <col min="2" max="2" width="20.77734375" style="21" customWidth="1"/>
    <col min="3" max="6" width="15.77734375" style="21" customWidth="1"/>
    <col min="7" max="7" width="5.77734375" style="21" customWidth="1"/>
    <col min="8" max="8" width="10.77734375" style="21" customWidth="1"/>
    <col min="9" max="13" width="10.77734375" style="21"/>
    <col min="14" max="14" width="11" style="21" customWidth="1"/>
    <col min="15" max="16384" width="10.77734375" style="21"/>
  </cols>
  <sheetData>
    <row r="1" spans="1:439">
      <c r="A1" s="33" t="s">
        <v>132</v>
      </c>
      <c r="B1" s="33"/>
      <c r="C1" s="33"/>
      <c r="D1" s="33"/>
      <c r="E1" s="33"/>
      <c r="F1" s="33"/>
    </row>
    <row r="2" spans="1:439">
      <c r="A2" s="31" t="s">
        <v>284</v>
      </c>
      <c r="B2" s="31"/>
      <c r="C2" s="31"/>
      <c r="D2" s="31"/>
      <c r="E2" s="31"/>
      <c r="F2" s="31"/>
    </row>
    <row r="3" spans="1:439">
      <c r="A3" s="42" t="s">
        <v>892</v>
      </c>
      <c r="B3" s="31"/>
      <c r="C3" s="31"/>
      <c r="D3" s="31"/>
      <c r="E3" s="31"/>
      <c r="F3" s="31"/>
    </row>
    <row r="5" spans="1:439">
      <c r="A5" s="54" t="s">
        <v>260</v>
      </c>
      <c r="B5" s="55" t="s">
        <v>214</v>
      </c>
      <c r="C5" s="54" t="s">
        <v>262</v>
      </c>
      <c r="D5" s="55" t="s">
        <v>217</v>
      </c>
      <c r="E5" s="54" t="s">
        <v>218</v>
      </c>
      <c r="F5" s="55" t="s">
        <v>261</v>
      </c>
    </row>
    <row r="6" spans="1:439">
      <c r="A6" s="17">
        <v>46626</v>
      </c>
      <c r="B6" s="18" t="s">
        <v>248</v>
      </c>
      <c r="C6" s="22">
        <v>5</v>
      </c>
      <c r="D6" s="23">
        <v>20</v>
      </c>
      <c r="E6" s="19">
        <v>100</v>
      </c>
      <c r="F6" s="19">
        <v>74</v>
      </c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</row>
    <row r="7" spans="1:439">
      <c r="A7" s="24">
        <v>45845</v>
      </c>
      <c r="B7" s="25" t="s">
        <v>249</v>
      </c>
      <c r="C7" s="22">
        <v>7</v>
      </c>
      <c r="D7" s="23">
        <v>25</v>
      </c>
      <c r="E7" s="19">
        <v>175</v>
      </c>
      <c r="F7" s="19">
        <v>75.25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</row>
    <row r="8" spans="1:439">
      <c r="A8" s="24">
        <v>46720</v>
      </c>
      <c r="B8" s="25" t="s">
        <v>250</v>
      </c>
      <c r="C8" s="22">
        <v>6</v>
      </c>
      <c r="D8" s="23">
        <v>30</v>
      </c>
      <c r="E8" s="19">
        <v>180</v>
      </c>
      <c r="F8" s="19">
        <v>90</v>
      </c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</row>
    <row r="9" spans="1:439">
      <c r="A9" s="17">
        <v>47732</v>
      </c>
      <c r="B9" s="18" t="s">
        <v>251</v>
      </c>
      <c r="C9" s="22">
        <v>20</v>
      </c>
      <c r="D9" s="23">
        <v>40</v>
      </c>
      <c r="E9" s="19">
        <v>800</v>
      </c>
      <c r="F9" s="19">
        <v>344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</row>
    <row r="10" spans="1:439">
      <c r="A10" s="17">
        <v>46915</v>
      </c>
      <c r="B10" s="18" t="s">
        <v>252</v>
      </c>
      <c r="C10" s="22">
        <v>3</v>
      </c>
      <c r="D10" s="23">
        <v>15</v>
      </c>
      <c r="E10" s="19">
        <v>45</v>
      </c>
      <c r="F10" s="19">
        <v>24.75</v>
      </c>
      <c r="H10"/>
      <c r="I10"/>
      <c r="J10"/>
    </row>
    <row r="11" spans="1:439">
      <c r="A11" s="17">
        <v>47385</v>
      </c>
      <c r="B11" s="18" t="s">
        <v>253</v>
      </c>
      <c r="C11" s="22">
        <v>16</v>
      </c>
      <c r="D11" s="23">
        <v>50</v>
      </c>
      <c r="E11" s="19">
        <v>800</v>
      </c>
      <c r="F11" s="19">
        <v>416</v>
      </c>
      <c r="H11"/>
      <c r="I11"/>
      <c r="J11"/>
    </row>
    <row r="12" spans="1:439">
      <c r="A12" s="17">
        <v>46784</v>
      </c>
      <c r="B12" s="18" t="s">
        <v>253</v>
      </c>
      <c r="C12" s="22">
        <v>17</v>
      </c>
      <c r="D12" s="23">
        <v>50</v>
      </c>
      <c r="E12" s="19">
        <v>850</v>
      </c>
      <c r="F12" s="19">
        <v>569.5</v>
      </c>
      <c r="H12"/>
      <c r="I12"/>
      <c r="J12"/>
    </row>
    <row r="13" spans="1:439">
      <c r="A13" s="17">
        <v>46790</v>
      </c>
      <c r="B13" s="18" t="s">
        <v>254</v>
      </c>
      <c r="C13" s="22">
        <v>11</v>
      </c>
      <c r="D13" s="23">
        <v>1000</v>
      </c>
      <c r="E13" s="19">
        <v>11000</v>
      </c>
      <c r="F13" s="19">
        <v>7260</v>
      </c>
      <c r="H13"/>
    </row>
    <row r="14" spans="1:439">
      <c r="A14" s="24">
        <v>47133</v>
      </c>
      <c r="B14" s="25" t="s">
        <v>253</v>
      </c>
      <c r="C14" s="22">
        <v>8</v>
      </c>
      <c r="D14" s="23">
        <v>50</v>
      </c>
      <c r="E14" s="19">
        <v>400</v>
      </c>
      <c r="F14" s="19">
        <v>320</v>
      </c>
      <c r="H14"/>
    </row>
    <row r="15" spans="1:439">
      <c r="A15" s="17">
        <v>46970</v>
      </c>
      <c r="B15" s="18" t="s">
        <v>248</v>
      </c>
      <c r="C15" s="22">
        <v>17</v>
      </c>
      <c r="D15" s="23">
        <v>20</v>
      </c>
      <c r="E15" s="19">
        <v>340</v>
      </c>
      <c r="F15" s="19">
        <v>132.6</v>
      </c>
      <c r="H15"/>
    </row>
    <row r="16" spans="1:439">
      <c r="A16" s="24">
        <v>46199</v>
      </c>
      <c r="B16" s="25" t="s">
        <v>255</v>
      </c>
      <c r="C16" s="22">
        <v>18</v>
      </c>
      <c r="D16" s="23">
        <v>150</v>
      </c>
      <c r="E16" s="19">
        <v>2700</v>
      </c>
      <c r="F16" s="19">
        <v>1890</v>
      </c>
      <c r="H16"/>
    </row>
    <row r="17" spans="1:8">
      <c r="A17" s="24">
        <v>46709</v>
      </c>
      <c r="B17" s="25" t="s">
        <v>249</v>
      </c>
      <c r="C17" s="22">
        <v>10</v>
      </c>
      <c r="D17" s="23">
        <v>25</v>
      </c>
      <c r="E17" s="19">
        <v>250</v>
      </c>
      <c r="F17" s="19">
        <v>102.5</v>
      </c>
      <c r="H17"/>
    </row>
    <row r="18" spans="1:8">
      <c r="A18" s="17">
        <v>46061</v>
      </c>
      <c r="B18" s="18" t="s">
        <v>253</v>
      </c>
      <c r="C18" s="22">
        <v>15</v>
      </c>
      <c r="D18" s="23">
        <v>50</v>
      </c>
      <c r="E18" s="19">
        <v>750</v>
      </c>
      <c r="F18" s="19">
        <v>345</v>
      </c>
      <c r="H18"/>
    </row>
    <row r="19" spans="1:8">
      <c r="A19" s="17">
        <v>46276</v>
      </c>
      <c r="B19" s="18" t="s">
        <v>256</v>
      </c>
      <c r="C19" s="22">
        <v>3</v>
      </c>
      <c r="D19" s="23">
        <v>200</v>
      </c>
      <c r="E19" s="19">
        <v>600</v>
      </c>
      <c r="F19" s="19">
        <v>450</v>
      </c>
      <c r="H19"/>
    </row>
    <row r="20" spans="1:8">
      <c r="A20" s="17">
        <v>47554</v>
      </c>
      <c r="B20" s="18" t="s">
        <v>254</v>
      </c>
      <c r="C20" s="22">
        <v>8</v>
      </c>
      <c r="D20" s="23">
        <v>1000</v>
      </c>
      <c r="E20" s="19">
        <v>8000</v>
      </c>
      <c r="F20" s="19">
        <v>2880</v>
      </c>
      <c r="H20"/>
    </row>
    <row r="21" spans="1:8">
      <c r="A21" s="24">
        <v>46409</v>
      </c>
      <c r="B21" s="25" t="s">
        <v>252</v>
      </c>
      <c r="C21" s="22">
        <v>16</v>
      </c>
      <c r="D21" s="23">
        <v>15</v>
      </c>
      <c r="E21" s="19">
        <v>240</v>
      </c>
      <c r="F21" s="19">
        <v>158.4</v>
      </c>
      <c r="H21"/>
    </row>
    <row r="22" spans="1:8">
      <c r="A22" s="17">
        <v>47233</v>
      </c>
      <c r="B22" s="18" t="s">
        <v>251</v>
      </c>
      <c r="C22" s="22">
        <v>14</v>
      </c>
      <c r="D22" s="23">
        <v>40</v>
      </c>
      <c r="E22" s="19">
        <v>560</v>
      </c>
      <c r="F22" s="19">
        <v>263.2</v>
      </c>
      <c r="H22"/>
    </row>
    <row r="23" spans="1:8">
      <c r="A23" s="24">
        <v>47745</v>
      </c>
      <c r="B23" s="25" t="s">
        <v>256</v>
      </c>
      <c r="C23" s="22">
        <v>14</v>
      </c>
      <c r="D23" s="23">
        <v>200</v>
      </c>
      <c r="E23" s="19">
        <v>2800</v>
      </c>
      <c r="F23" s="19">
        <v>1960</v>
      </c>
      <c r="H23"/>
    </row>
    <row r="24" spans="1:8">
      <c r="A24" s="17">
        <v>45696</v>
      </c>
      <c r="B24" s="18" t="s">
        <v>251</v>
      </c>
      <c r="C24" s="22">
        <v>8</v>
      </c>
      <c r="D24" s="23">
        <v>40</v>
      </c>
      <c r="E24" s="19">
        <v>320</v>
      </c>
      <c r="F24" s="19">
        <v>124.8</v>
      </c>
    </row>
    <row r="25" spans="1:8">
      <c r="A25" s="17">
        <v>47319</v>
      </c>
      <c r="B25" s="18" t="s">
        <v>254</v>
      </c>
      <c r="C25" s="22">
        <v>3</v>
      </c>
      <c r="D25" s="23">
        <v>1000</v>
      </c>
      <c r="E25" s="19">
        <v>3000</v>
      </c>
      <c r="F25" s="19">
        <v>1020</v>
      </c>
    </row>
    <row r="26" spans="1:8">
      <c r="A26" s="24">
        <v>47708</v>
      </c>
      <c r="B26" s="25" t="s">
        <v>248</v>
      </c>
      <c r="C26" s="22">
        <v>19</v>
      </c>
      <c r="D26" s="23">
        <v>20</v>
      </c>
      <c r="E26" s="19">
        <v>380</v>
      </c>
      <c r="F26" s="19">
        <v>300.2</v>
      </c>
    </row>
    <row r="27" spans="1:8">
      <c r="A27" s="17">
        <v>46281</v>
      </c>
      <c r="B27" s="18" t="s">
        <v>250</v>
      </c>
      <c r="C27" s="22">
        <v>6</v>
      </c>
      <c r="D27" s="23">
        <v>30</v>
      </c>
      <c r="E27" s="19">
        <v>180</v>
      </c>
      <c r="F27" s="19">
        <v>108</v>
      </c>
    </row>
    <row r="28" spans="1:8">
      <c r="A28" s="17">
        <v>47237</v>
      </c>
      <c r="B28" s="18" t="s">
        <v>252</v>
      </c>
      <c r="C28" s="22">
        <v>4</v>
      </c>
      <c r="D28" s="23">
        <v>15</v>
      </c>
      <c r="E28" s="19">
        <v>60</v>
      </c>
      <c r="F28" s="19">
        <v>27</v>
      </c>
    </row>
    <row r="29" spans="1:8">
      <c r="A29" s="24">
        <v>46880</v>
      </c>
      <c r="B29" s="25" t="s">
        <v>256</v>
      </c>
      <c r="C29" s="22">
        <v>20</v>
      </c>
      <c r="D29" s="23">
        <v>200</v>
      </c>
      <c r="E29" s="19">
        <v>4000</v>
      </c>
      <c r="F29" s="19">
        <v>1920</v>
      </c>
    </row>
    <row r="30" spans="1:8">
      <c r="A30" s="17">
        <v>46564</v>
      </c>
      <c r="B30" s="18" t="s">
        <v>249</v>
      </c>
      <c r="C30" s="22">
        <v>8</v>
      </c>
      <c r="D30" s="23">
        <v>25</v>
      </c>
      <c r="E30" s="19">
        <v>200</v>
      </c>
      <c r="F30" s="19">
        <v>64</v>
      </c>
    </row>
    <row r="31" spans="1:8">
      <c r="A31" s="17">
        <v>47512</v>
      </c>
      <c r="B31" s="18" t="s">
        <v>250</v>
      </c>
      <c r="C31" s="22">
        <v>7</v>
      </c>
      <c r="D31" s="23">
        <v>30</v>
      </c>
      <c r="E31" s="19">
        <v>210</v>
      </c>
      <c r="F31" s="19">
        <v>121.8</v>
      </c>
    </row>
    <row r="32" spans="1:8">
      <c r="A32" s="17">
        <v>45958</v>
      </c>
      <c r="B32" s="18" t="s">
        <v>250</v>
      </c>
      <c r="C32" s="22">
        <v>3</v>
      </c>
      <c r="D32" s="23">
        <v>30</v>
      </c>
      <c r="E32" s="19">
        <v>90</v>
      </c>
      <c r="F32" s="19">
        <v>54.9</v>
      </c>
    </row>
    <row r="33" spans="1:6">
      <c r="A33" s="17">
        <v>47126</v>
      </c>
      <c r="B33" s="18" t="s">
        <v>256</v>
      </c>
      <c r="C33" s="22">
        <v>18</v>
      </c>
      <c r="D33" s="23">
        <v>200</v>
      </c>
      <c r="E33" s="19">
        <v>3600</v>
      </c>
      <c r="F33" s="19">
        <v>1152</v>
      </c>
    </row>
    <row r="34" spans="1:6">
      <c r="A34" s="24">
        <v>47730</v>
      </c>
      <c r="B34" s="25" t="s">
        <v>256</v>
      </c>
      <c r="C34" s="22">
        <v>17</v>
      </c>
      <c r="D34" s="23">
        <v>200</v>
      </c>
      <c r="E34" s="19">
        <v>3400</v>
      </c>
      <c r="F34" s="19">
        <v>2006</v>
      </c>
    </row>
    <row r="35" spans="1:6">
      <c r="A35" s="17">
        <v>46327</v>
      </c>
      <c r="B35" s="18" t="s">
        <v>251</v>
      </c>
      <c r="C35" s="22">
        <v>19</v>
      </c>
      <c r="D35" s="23">
        <v>40</v>
      </c>
      <c r="E35" s="19">
        <v>760</v>
      </c>
      <c r="F35" s="19">
        <v>311.60000000000002</v>
      </c>
    </row>
    <row r="36" spans="1:6">
      <c r="A36" s="17">
        <v>45953</v>
      </c>
      <c r="B36" s="18" t="s">
        <v>248</v>
      </c>
      <c r="C36" s="22">
        <v>3</v>
      </c>
      <c r="D36" s="23">
        <v>20</v>
      </c>
      <c r="E36" s="19">
        <v>60</v>
      </c>
      <c r="F36" s="19">
        <v>22.8</v>
      </c>
    </row>
    <row r="37" spans="1:6">
      <c r="A37" s="17">
        <v>45888</v>
      </c>
      <c r="B37" s="18" t="s">
        <v>248</v>
      </c>
      <c r="C37" s="22">
        <v>16</v>
      </c>
      <c r="D37" s="23">
        <v>20</v>
      </c>
      <c r="E37" s="19">
        <v>320</v>
      </c>
      <c r="F37" s="19">
        <v>166.4</v>
      </c>
    </row>
    <row r="38" spans="1:6">
      <c r="A38" s="24">
        <v>47057</v>
      </c>
      <c r="B38" s="25" t="s">
        <v>253</v>
      </c>
      <c r="C38" s="22">
        <v>14</v>
      </c>
      <c r="D38" s="23">
        <v>50</v>
      </c>
      <c r="E38" s="19">
        <v>700</v>
      </c>
      <c r="F38" s="19">
        <v>448</v>
      </c>
    </row>
    <row r="39" spans="1:6">
      <c r="A39" s="17">
        <v>46003</v>
      </c>
      <c r="B39" s="18" t="s">
        <v>253</v>
      </c>
      <c r="C39" s="22">
        <v>8</v>
      </c>
      <c r="D39" s="23">
        <v>50</v>
      </c>
      <c r="E39" s="19">
        <v>400</v>
      </c>
      <c r="F39" s="19">
        <v>156</v>
      </c>
    </row>
    <row r="40" spans="1:6">
      <c r="A40" s="17">
        <v>46104</v>
      </c>
      <c r="B40" s="18" t="s">
        <v>250</v>
      </c>
      <c r="C40" s="22">
        <v>8</v>
      </c>
      <c r="D40" s="23">
        <v>30</v>
      </c>
      <c r="E40" s="19">
        <v>240</v>
      </c>
      <c r="F40" s="19">
        <v>184.8</v>
      </c>
    </row>
    <row r="41" spans="1:6">
      <c r="A41" s="17">
        <v>46961</v>
      </c>
      <c r="B41" s="18" t="s">
        <v>250</v>
      </c>
      <c r="C41" s="22">
        <v>14</v>
      </c>
      <c r="D41" s="23">
        <v>30</v>
      </c>
      <c r="E41" s="19">
        <v>420</v>
      </c>
      <c r="F41" s="19">
        <v>315</v>
      </c>
    </row>
    <row r="42" spans="1:6">
      <c r="A42" s="17">
        <v>46065</v>
      </c>
      <c r="B42" s="18" t="s">
        <v>257</v>
      </c>
      <c r="C42" s="22">
        <v>5</v>
      </c>
      <c r="D42" s="23">
        <v>300</v>
      </c>
      <c r="E42" s="19">
        <v>1500</v>
      </c>
      <c r="F42" s="19">
        <v>1200</v>
      </c>
    </row>
    <row r="43" spans="1:6">
      <c r="A43" s="24">
        <v>46414</v>
      </c>
      <c r="B43" s="25" t="s">
        <v>249</v>
      </c>
      <c r="C43" s="22">
        <v>7</v>
      </c>
      <c r="D43" s="23">
        <v>25</v>
      </c>
      <c r="E43" s="19">
        <v>175</v>
      </c>
      <c r="F43" s="19">
        <v>64.75</v>
      </c>
    </row>
    <row r="44" spans="1:6">
      <c r="A44" s="17">
        <v>47109</v>
      </c>
      <c r="B44" s="18" t="s">
        <v>252</v>
      </c>
      <c r="C44" s="22">
        <v>11</v>
      </c>
      <c r="D44" s="23">
        <v>15</v>
      </c>
      <c r="E44" s="19">
        <v>165</v>
      </c>
      <c r="F44" s="19">
        <v>90.75</v>
      </c>
    </row>
    <row r="45" spans="1:6">
      <c r="A45" s="17">
        <v>47009</v>
      </c>
      <c r="B45" s="18" t="s">
        <v>257</v>
      </c>
      <c r="C45" s="22">
        <v>20</v>
      </c>
      <c r="D45" s="23">
        <v>300</v>
      </c>
      <c r="E45" s="19">
        <v>6000</v>
      </c>
      <c r="F45" s="19">
        <v>2760</v>
      </c>
    </row>
    <row r="46" spans="1:6">
      <c r="A46" s="17">
        <v>46451</v>
      </c>
      <c r="B46" s="18" t="s">
        <v>254</v>
      </c>
      <c r="C46" s="22">
        <v>11</v>
      </c>
      <c r="D46" s="23">
        <v>1000</v>
      </c>
      <c r="E46" s="19">
        <v>11000</v>
      </c>
      <c r="F46" s="19">
        <v>8690</v>
      </c>
    </row>
    <row r="47" spans="1:6">
      <c r="A47" s="24">
        <v>45859</v>
      </c>
      <c r="B47" s="25" t="s">
        <v>256</v>
      </c>
      <c r="C47" s="22">
        <v>5</v>
      </c>
      <c r="D47" s="23">
        <v>200</v>
      </c>
      <c r="E47" s="19">
        <v>1000</v>
      </c>
      <c r="F47" s="19">
        <v>450</v>
      </c>
    </row>
    <row r="48" spans="1:6">
      <c r="A48" s="17">
        <v>45701</v>
      </c>
      <c r="B48" s="18" t="s">
        <v>257</v>
      </c>
      <c r="C48" s="22">
        <v>18</v>
      </c>
      <c r="D48" s="23">
        <v>300</v>
      </c>
      <c r="E48" s="19">
        <v>5400</v>
      </c>
      <c r="F48" s="19">
        <v>1782</v>
      </c>
    </row>
    <row r="49" spans="1:6">
      <c r="A49" s="24">
        <v>45735</v>
      </c>
      <c r="B49" s="25" t="s">
        <v>254</v>
      </c>
      <c r="C49" s="22">
        <v>19</v>
      </c>
      <c r="D49" s="23">
        <v>1000</v>
      </c>
      <c r="E49" s="19">
        <v>19000</v>
      </c>
      <c r="F49" s="19">
        <v>14820</v>
      </c>
    </row>
    <row r="50" spans="1:6">
      <c r="A50" s="17">
        <v>45664</v>
      </c>
      <c r="B50" s="18" t="s">
        <v>252</v>
      </c>
      <c r="C50" s="22">
        <v>12</v>
      </c>
      <c r="D50" s="23">
        <v>15</v>
      </c>
      <c r="E50" s="19">
        <v>180</v>
      </c>
      <c r="F50" s="19">
        <v>82.8</v>
      </c>
    </row>
    <row r="51" spans="1:6">
      <c r="A51" s="17">
        <v>46497</v>
      </c>
      <c r="B51" s="18" t="s">
        <v>251</v>
      </c>
      <c r="C51" s="22">
        <v>16</v>
      </c>
      <c r="D51" s="23">
        <v>40</v>
      </c>
      <c r="E51" s="19">
        <v>640</v>
      </c>
      <c r="F51" s="19">
        <v>396.8</v>
      </c>
    </row>
    <row r="52" spans="1:6">
      <c r="A52" s="17">
        <v>47486</v>
      </c>
      <c r="B52" s="18" t="s">
        <v>252</v>
      </c>
      <c r="C52" s="22">
        <v>10</v>
      </c>
      <c r="D52" s="23">
        <v>15</v>
      </c>
      <c r="E52" s="19">
        <v>150</v>
      </c>
      <c r="F52" s="19">
        <v>57</v>
      </c>
    </row>
    <row r="53" spans="1:6">
      <c r="A53" s="17">
        <v>45714</v>
      </c>
      <c r="B53" s="18" t="s">
        <v>251</v>
      </c>
      <c r="C53" s="22">
        <v>13</v>
      </c>
      <c r="D53" s="23">
        <v>40</v>
      </c>
      <c r="E53" s="19">
        <v>520</v>
      </c>
      <c r="F53" s="19">
        <v>223.6</v>
      </c>
    </row>
    <row r="54" spans="1:6">
      <c r="A54" s="17">
        <v>46263</v>
      </c>
      <c r="B54" s="18" t="s">
        <v>253</v>
      </c>
      <c r="C54" s="22">
        <v>6</v>
      </c>
      <c r="D54" s="23">
        <v>50</v>
      </c>
      <c r="E54" s="19">
        <v>300</v>
      </c>
      <c r="F54" s="19">
        <v>225</v>
      </c>
    </row>
    <row r="55" spans="1:6">
      <c r="A55" s="24">
        <v>46638</v>
      </c>
      <c r="B55" s="25" t="s">
        <v>248</v>
      </c>
      <c r="C55" s="22">
        <v>16</v>
      </c>
      <c r="D55" s="23">
        <v>20</v>
      </c>
      <c r="E55" s="19">
        <v>320</v>
      </c>
      <c r="F55" s="19">
        <v>198.4</v>
      </c>
    </row>
    <row r="56" spans="1:6">
      <c r="A56" s="24">
        <v>47657</v>
      </c>
      <c r="B56" s="25" t="s">
        <v>255</v>
      </c>
      <c r="C56" s="22">
        <v>8</v>
      </c>
      <c r="D56" s="23">
        <v>150</v>
      </c>
      <c r="E56" s="19">
        <v>1200</v>
      </c>
      <c r="F56" s="19">
        <v>396</v>
      </c>
    </row>
    <row r="57" spans="1:6">
      <c r="A57" s="24">
        <v>46143</v>
      </c>
      <c r="B57" s="25" t="s">
        <v>254</v>
      </c>
      <c r="C57" s="22">
        <v>6</v>
      </c>
      <c r="D57" s="23">
        <v>1000</v>
      </c>
      <c r="E57" s="19">
        <v>6000</v>
      </c>
      <c r="F57" s="19">
        <v>2820</v>
      </c>
    </row>
    <row r="58" spans="1:6">
      <c r="A58" s="17">
        <v>46100</v>
      </c>
      <c r="B58" s="18" t="s">
        <v>257</v>
      </c>
      <c r="C58" s="22">
        <v>1</v>
      </c>
      <c r="D58" s="23">
        <v>300</v>
      </c>
      <c r="E58" s="19">
        <v>300</v>
      </c>
      <c r="F58" s="19">
        <v>237</v>
      </c>
    </row>
    <row r="59" spans="1:6">
      <c r="A59" s="24">
        <v>47001</v>
      </c>
      <c r="B59" s="25" t="s">
        <v>255</v>
      </c>
      <c r="C59" s="22">
        <v>18</v>
      </c>
      <c r="D59" s="23">
        <v>150</v>
      </c>
      <c r="E59" s="19">
        <v>2700</v>
      </c>
      <c r="F59" s="19">
        <v>1377</v>
      </c>
    </row>
    <row r="60" spans="1:6">
      <c r="A60" s="17">
        <v>46620</v>
      </c>
      <c r="B60" s="18" t="s">
        <v>252</v>
      </c>
      <c r="C60" s="22">
        <v>10</v>
      </c>
      <c r="D60" s="23">
        <v>15</v>
      </c>
      <c r="E60" s="19">
        <v>150</v>
      </c>
      <c r="F60" s="19">
        <v>66</v>
      </c>
    </row>
    <row r="61" spans="1:6">
      <c r="A61" s="17">
        <v>45702</v>
      </c>
      <c r="B61" s="18" t="s">
        <v>257</v>
      </c>
      <c r="C61" s="22">
        <v>18</v>
      </c>
      <c r="D61" s="23">
        <v>300</v>
      </c>
      <c r="E61" s="19">
        <v>5400</v>
      </c>
      <c r="F61" s="19">
        <v>3834</v>
      </c>
    </row>
    <row r="62" spans="1:6">
      <c r="A62" s="24">
        <v>47364</v>
      </c>
      <c r="B62" s="25" t="s">
        <v>257</v>
      </c>
      <c r="C62" s="22">
        <v>14</v>
      </c>
      <c r="D62" s="23">
        <v>300</v>
      </c>
      <c r="E62" s="19">
        <v>4200</v>
      </c>
      <c r="F62" s="19">
        <v>2142</v>
      </c>
    </row>
    <row r="63" spans="1:6">
      <c r="A63" s="17">
        <v>47406</v>
      </c>
      <c r="B63" s="18" t="s">
        <v>255</v>
      </c>
      <c r="C63" s="22">
        <v>7</v>
      </c>
      <c r="D63" s="23">
        <v>150</v>
      </c>
      <c r="E63" s="19">
        <v>1050</v>
      </c>
      <c r="F63" s="19">
        <v>514.5</v>
      </c>
    </row>
    <row r="64" spans="1:6">
      <c r="A64" s="24">
        <v>46512</v>
      </c>
      <c r="B64" s="25" t="s">
        <v>251</v>
      </c>
      <c r="C64" s="22">
        <v>12</v>
      </c>
      <c r="D64" s="23">
        <v>40</v>
      </c>
      <c r="E64" s="19">
        <v>480</v>
      </c>
      <c r="F64" s="19">
        <v>220.8</v>
      </c>
    </row>
    <row r="65" spans="1:6">
      <c r="A65" s="24">
        <v>46139</v>
      </c>
      <c r="B65" s="25" t="s">
        <v>253</v>
      </c>
      <c r="C65" s="22">
        <v>3</v>
      </c>
      <c r="D65" s="23">
        <v>50</v>
      </c>
      <c r="E65" s="19">
        <v>150</v>
      </c>
      <c r="F65" s="19">
        <v>96</v>
      </c>
    </row>
    <row r="66" spans="1:6">
      <c r="A66" s="24">
        <v>46699</v>
      </c>
      <c r="B66" s="25" t="s">
        <v>250</v>
      </c>
      <c r="C66" s="22">
        <v>5</v>
      </c>
      <c r="D66" s="23">
        <v>30</v>
      </c>
      <c r="E66" s="19">
        <v>150</v>
      </c>
      <c r="F66" s="19">
        <v>117</v>
      </c>
    </row>
    <row r="67" spans="1:6">
      <c r="A67" s="17">
        <v>47786</v>
      </c>
      <c r="B67" s="18" t="s">
        <v>251</v>
      </c>
      <c r="C67" s="22">
        <v>10</v>
      </c>
      <c r="D67" s="23">
        <v>40</v>
      </c>
      <c r="E67" s="19">
        <v>400</v>
      </c>
      <c r="F67" s="19">
        <v>160</v>
      </c>
    </row>
    <row r="68" spans="1:6">
      <c r="A68" s="17">
        <v>47760</v>
      </c>
      <c r="B68" s="18" t="s">
        <v>250</v>
      </c>
      <c r="C68" s="22">
        <v>16</v>
      </c>
      <c r="D68" s="23">
        <v>30</v>
      </c>
      <c r="E68" s="19">
        <v>480</v>
      </c>
      <c r="F68" s="19">
        <v>321.60000000000002</v>
      </c>
    </row>
    <row r="69" spans="1:6">
      <c r="A69" s="17">
        <v>47368</v>
      </c>
      <c r="B69" s="18" t="s">
        <v>254</v>
      </c>
      <c r="C69" s="22">
        <v>9</v>
      </c>
      <c r="D69" s="23">
        <v>1000</v>
      </c>
      <c r="E69" s="19">
        <v>9000</v>
      </c>
      <c r="F69" s="19">
        <v>5850</v>
      </c>
    </row>
    <row r="70" spans="1:6">
      <c r="A70" s="17">
        <v>46558</v>
      </c>
      <c r="B70" s="18" t="s">
        <v>248</v>
      </c>
      <c r="C70" s="22">
        <v>18</v>
      </c>
      <c r="D70" s="23">
        <v>20</v>
      </c>
      <c r="E70" s="19">
        <v>360</v>
      </c>
      <c r="F70" s="19">
        <v>187.2</v>
      </c>
    </row>
    <row r="71" spans="1:6">
      <c r="A71" s="24">
        <v>46453</v>
      </c>
      <c r="B71" s="25" t="s">
        <v>248</v>
      </c>
      <c r="C71" s="22">
        <v>17</v>
      </c>
      <c r="D71" s="23">
        <v>20</v>
      </c>
      <c r="E71" s="19">
        <v>340</v>
      </c>
      <c r="F71" s="19">
        <v>248.2</v>
      </c>
    </row>
    <row r="72" spans="1:6">
      <c r="A72" s="24">
        <v>47531</v>
      </c>
      <c r="B72" s="25" t="s">
        <v>256</v>
      </c>
      <c r="C72" s="22">
        <v>19</v>
      </c>
      <c r="D72" s="23">
        <v>200</v>
      </c>
      <c r="E72" s="19">
        <v>3800</v>
      </c>
      <c r="F72" s="19">
        <v>2052</v>
      </c>
    </row>
    <row r="73" spans="1:6">
      <c r="A73" s="17">
        <v>46907</v>
      </c>
      <c r="B73" s="18" t="s">
        <v>256</v>
      </c>
      <c r="C73" s="22">
        <v>7</v>
      </c>
      <c r="D73" s="23">
        <v>200</v>
      </c>
      <c r="E73" s="19">
        <v>1400</v>
      </c>
      <c r="F73" s="19">
        <v>896</v>
      </c>
    </row>
    <row r="74" spans="1:6">
      <c r="A74" s="24">
        <v>47495</v>
      </c>
      <c r="B74" s="25" t="s">
        <v>254</v>
      </c>
      <c r="C74" s="22">
        <v>1</v>
      </c>
      <c r="D74" s="23">
        <v>1000</v>
      </c>
      <c r="E74" s="19">
        <v>1000</v>
      </c>
      <c r="F74" s="19">
        <v>620</v>
      </c>
    </row>
    <row r="75" spans="1:6">
      <c r="A75" s="17">
        <v>47275</v>
      </c>
      <c r="B75" s="18" t="s">
        <v>252</v>
      </c>
      <c r="C75" s="22">
        <v>1</v>
      </c>
      <c r="D75" s="23">
        <v>15</v>
      </c>
      <c r="E75" s="19">
        <v>15</v>
      </c>
      <c r="F75" s="19">
        <v>9.9</v>
      </c>
    </row>
    <row r="76" spans="1:6">
      <c r="A76" s="17">
        <v>46748</v>
      </c>
      <c r="B76" s="18" t="s">
        <v>253</v>
      </c>
      <c r="C76" s="22">
        <v>11</v>
      </c>
      <c r="D76" s="23">
        <v>50</v>
      </c>
      <c r="E76" s="19">
        <v>550</v>
      </c>
      <c r="F76" s="19">
        <v>412.5</v>
      </c>
    </row>
    <row r="77" spans="1:6">
      <c r="A77" s="17">
        <v>47106</v>
      </c>
      <c r="B77" s="18" t="s">
        <v>256</v>
      </c>
      <c r="C77" s="22">
        <v>10</v>
      </c>
      <c r="D77" s="23">
        <v>200</v>
      </c>
      <c r="E77" s="19">
        <v>2000</v>
      </c>
      <c r="F77" s="19">
        <v>1280</v>
      </c>
    </row>
    <row r="78" spans="1:6">
      <c r="A78" s="24">
        <v>46344</v>
      </c>
      <c r="B78" s="25" t="s">
        <v>255</v>
      </c>
      <c r="C78" s="22">
        <v>19</v>
      </c>
      <c r="D78" s="23">
        <v>150</v>
      </c>
      <c r="E78" s="19">
        <v>2850</v>
      </c>
      <c r="F78" s="19">
        <v>855</v>
      </c>
    </row>
    <row r="79" spans="1:6">
      <c r="A79" s="17">
        <v>47784</v>
      </c>
      <c r="B79" s="18" t="s">
        <v>249</v>
      </c>
      <c r="C79" s="22">
        <v>12</v>
      </c>
      <c r="D79" s="23">
        <v>25</v>
      </c>
      <c r="E79" s="19">
        <v>300</v>
      </c>
      <c r="F79" s="19">
        <v>225</v>
      </c>
    </row>
    <row r="80" spans="1:6">
      <c r="A80" s="24">
        <v>46492</v>
      </c>
      <c r="B80" s="25" t="s">
        <v>251</v>
      </c>
      <c r="C80" s="22">
        <v>20</v>
      </c>
      <c r="D80" s="23">
        <v>40</v>
      </c>
      <c r="E80" s="19">
        <v>800</v>
      </c>
      <c r="F80" s="19">
        <v>248</v>
      </c>
    </row>
    <row r="81" spans="1:6">
      <c r="A81" s="17">
        <v>45747</v>
      </c>
      <c r="B81" s="18" t="s">
        <v>254</v>
      </c>
      <c r="C81" s="22">
        <v>11</v>
      </c>
      <c r="D81" s="23">
        <v>1000</v>
      </c>
      <c r="E81" s="19">
        <v>11000</v>
      </c>
      <c r="F81" s="19">
        <v>7370</v>
      </c>
    </row>
    <row r="82" spans="1:6">
      <c r="A82" s="17">
        <v>46864</v>
      </c>
      <c r="B82" s="18" t="s">
        <v>254</v>
      </c>
      <c r="C82" s="22">
        <v>9</v>
      </c>
      <c r="D82" s="23">
        <v>1000</v>
      </c>
      <c r="E82" s="19">
        <v>9000</v>
      </c>
      <c r="F82" s="19">
        <v>6390</v>
      </c>
    </row>
    <row r="83" spans="1:6">
      <c r="A83" s="17">
        <v>46797</v>
      </c>
      <c r="B83" s="18" t="s">
        <v>257</v>
      </c>
      <c r="C83" s="22">
        <v>2</v>
      </c>
      <c r="D83" s="23">
        <v>300</v>
      </c>
      <c r="E83" s="19">
        <v>600</v>
      </c>
      <c r="F83" s="19">
        <v>468</v>
      </c>
    </row>
    <row r="84" spans="1:6">
      <c r="A84" s="24">
        <v>46189</v>
      </c>
      <c r="B84" s="25" t="s">
        <v>257</v>
      </c>
      <c r="C84" s="22">
        <v>9</v>
      </c>
      <c r="D84" s="23">
        <v>300</v>
      </c>
      <c r="E84" s="19">
        <v>2700</v>
      </c>
      <c r="F84" s="19">
        <v>1080</v>
      </c>
    </row>
    <row r="85" spans="1:6">
      <c r="A85" s="17">
        <v>47486</v>
      </c>
      <c r="B85" s="18" t="s">
        <v>253</v>
      </c>
      <c r="C85" s="22">
        <v>5</v>
      </c>
      <c r="D85" s="23">
        <v>50</v>
      </c>
      <c r="E85" s="19">
        <v>250</v>
      </c>
      <c r="F85" s="19">
        <v>120</v>
      </c>
    </row>
    <row r="86" spans="1:6">
      <c r="A86" s="24">
        <v>46141</v>
      </c>
      <c r="B86" s="25" t="s">
        <v>255</v>
      </c>
      <c r="C86" s="22">
        <v>11</v>
      </c>
      <c r="D86" s="23">
        <v>150</v>
      </c>
      <c r="E86" s="19">
        <v>1650</v>
      </c>
      <c r="F86" s="19">
        <v>709.5</v>
      </c>
    </row>
    <row r="87" spans="1:6">
      <c r="A87" s="17">
        <v>46512</v>
      </c>
      <c r="B87" s="18" t="s">
        <v>249</v>
      </c>
      <c r="C87" s="22">
        <v>15</v>
      </c>
      <c r="D87" s="23">
        <v>25</v>
      </c>
      <c r="E87" s="19">
        <v>375</v>
      </c>
      <c r="F87" s="19">
        <v>131.25</v>
      </c>
    </row>
    <row r="88" spans="1:6">
      <c r="A88" s="24">
        <v>47516</v>
      </c>
      <c r="B88" s="25" t="s">
        <v>252</v>
      </c>
      <c r="C88" s="22">
        <v>19</v>
      </c>
      <c r="D88" s="23">
        <v>15</v>
      </c>
      <c r="E88" s="19">
        <v>285</v>
      </c>
      <c r="F88" s="19">
        <v>193.8</v>
      </c>
    </row>
    <row r="89" spans="1:6">
      <c r="A89" s="17">
        <v>47155</v>
      </c>
      <c r="B89" s="18" t="s">
        <v>251</v>
      </c>
      <c r="C89" s="22">
        <v>7</v>
      </c>
      <c r="D89" s="23">
        <v>40</v>
      </c>
      <c r="E89" s="19">
        <v>280</v>
      </c>
      <c r="F89" s="19">
        <v>182</v>
      </c>
    </row>
    <row r="90" spans="1:6">
      <c r="A90" s="24">
        <v>46929</v>
      </c>
      <c r="B90" s="25" t="s">
        <v>251</v>
      </c>
      <c r="C90" s="22">
        <v>12</v>
      </c>
      <c r="D90" s="23">
        <v>40</v>
      </c>
      <c r="E90" s="19">
        <v>480</v>
      </c>
      <c r="F90" s="19">
        <v>244.8</v>
      </c>
    </row>
    <row r="91" spans="1:6">
      <c r="A91" s="17">
        <v>46854</v>
      </c>
      <c r="B91" s="18" t="s">
        <v>253</v>
      </c>
      <c r="C91" s="22">
        <v>12</v>
      </c>
      <c r="D91" s="23">
        <v>50</v>
      </c>
      <c r="E91" s="19">
        <v>600</v>
      </c>
      <c r="F91" s="19">
        <v>282</v>
      </c>
    </row>
    <row r="92" spans="1:6">
      <c r="A92" s="17">
        <v>45700</v>
      </c>
      <c r="B92" s="18" t="s">
        <v>252</v>
      </c>
      <c r="C92" s="22">
        <v>6</v>
      </c>
      <c r="D92" s="23">
        <v>15</v>
      </c>
      <c r="E92" s="19">
        <v>90</v>
      </c>
      <c r="F92" s="19">
        <v>68.400000000000006</v>
      </c>
    </row>
    <row r="93" spans="1:6">
      <c r="A93" s="17">
        <v>47236</v>
      </c>
      <c r="B93" s="18" t="s">
        <v>256</v>
      </c>
      <c r="C93" s="22">
        <v>9</v>
      </c>
      <c r="D93" s="23">
        <v>200</v>
      </c>
      <c r="E93" s="19">
        <v>1800</v>
      </c>
      <c r="F93" s="19">
        <v>720</v>
      </c>
    </row>
    <row r="94" spans="1:6">
      <c r="A94" s="24">
        <v>47544</v>
      </c>
      <c r="B94" s="25" t="s">
        <v>252</v>
      </c>
      <c r="C94" s="22">
        <v>16</v>
      </c>
      <c r="D94" s="23">
        <v>15</v>
      </c>
      <c r="E94" s="19">
        <v>240</v>
      </c>
      <c r="F94" s="19">
        <v>177.6</v>
      </c>
    </row>
    <row r="95" spans="1:6">
      <c r="A95" s="24">
        <v>46200</v>
      </c>
      <c r="B95" s="25" t="s">
        <v>253</v>
      </c>
      <c r="C95" s="22">
        <v>8</v>
      </c>
      <c r="D95" s="23">
        <v>50</v>
      </c>
      <c r="E95" s="19">
        <v>400</v>
      </c>
      <c r="F95" s="19">
        <v>172</v>
      </c>
    </row>
    <row r="96" spans="1:6">
      <c r="A96" s="17">
        <v>47196</v>
      </c>
      <c r="B96" s="18" t="s">
        <v>253</v>
      </c>
      <c r="C96" s="22">
        <v>6</v>
      </c>
      <c r="D96" s="23">
        <v>50</v>
      </c>
      <c r="E96" s="19">
        <v>300</v>
      </c>
      <c r="F96" s="19">
        <v>108</v>
      </c>
    </row>
    <row r="97" spans="1:6">
      <c r="A97" s="17">
        <v>45997</v>
      </c>
      <c r="B97" s="18" t="s">
        <v>252</v>
      </c>
      <c r="C97" s="22">
        <v>14</v>
      </c>
      <c r="D97" s="23">
        <v>15</v>
      </c>
      <c r="E97" s="19">
        <v>210</v>
      </c>
      <c r="F97" s="19">
        <v>88.2</v>
      </c>
    </row>
    <row r="98" spans="1:6">
      <c r="A98" s="24">
        <v>46269</v>
      </c>
      <c r="B98" s="25" t="s">
        <v>256</v>
      </c>
      <c r="C98" s="22">
        <v>12</v>
      </c>
      <c r="D98" s="23">
        <v>200</v>
      </c>
      <c r="E98" s="19">
        <v>2400</v>
      </c>
      <c r="F98" s="19">
        <v>1752</v>
      </c>
    </row>
    <row r="99" spans="1:6">
      <c r="A99" s="24">
        <v>47784</v>
      </c>
      <c r="B99" s="25" t="s">
        <v>256</v>
      </c>
      <c r="C99" s="22">
        <v>11</v>
      </c>
      <c r="D99" s="23">
        <v>200</v>
      </c>
      <c r="E99" s="19">
        <v>2200</v>
      </c>
      <c r="F99" s="19">
        <v>1452</v>
      </c>
    </row>
    <row r="100" spans="1:6">
      <c r="A100" s="24">
        <v>45696</v>
      </c>
      <c r="B100" s="25" t="s">
        <v>250</v>
      </c>
      <c r="C100" s="22">
        <v>4</v>
      </c>
      <c r="D100" s="23">
        <v>30</v>
      </c>
      <c r="E100" s="19">
        <v>120</v>
      </c>
      <c r="F100" s="19">
        <v>62.4</v>
      </c>
    </row>
    <row r="101" spans="1:6">
      <c r="A101" s="17">
        <v>46322</v>
      </c>
      <c r="B101" s="18" t="s">
        <v>249</v>
      </c>
      <c r="C101" s="22">
        <v>14</v>
      </c>
      <c r="D101" s="23">
        <v>25</v>
      </c>
      <c r="E101" s="19">
        <v>350</v>
      </c>
      <c r="F101" s="19">
        <v>252</v>
      </c>
    </row>
    <row r="102" spans="1:6">
      <c r="A102" s="17">
        <v>46757</v>
      </c>
      <c r="B102" s="18" t="s">
        <v>257</v>
      </c>
      <c r="C102" s="22">
        <v>15</v>
      </c>
      <c r="D102" s="23">
        <v>300</v>
      </c>
      <c r="E102" s="19">
        <v>4500</v>
      </c>
      <c r="F102" s="19">
        <v>1350</v>
      </c>
    </row>
    <row r="103" spans="1:6">
      <c r="A103" s="24">
        <v>45912</v>
      </c>
      <c r="B103" s="25" t="s">
        <v>254</v>
      </c>
      <c r="C103" s="22">
        <v>3</v>
      </c>
      <c r="D103" s="23">
        <v>1000</v>
      </c>
      <c r="E103" s="19">
        <v>3000</v>
      </c>
      <c r="F103" s="19">
        <v>1110</v>
      </c>
    </row>
    <row r="104" spans="1:6">
      <c r="A104" s="17">
        <v>47681</v>
      </c>
      <c r="B104" s="18" t="s">
        <v>248</v>
      </c>
      <c r="C104" s="22">
        <v>5</v>
      </c>
      <c r="D104" s="23">
        <v>20</v>
      </c>
      <c r="E104" s="19">
        <v>100</v>
      </c>
      <c r="F104" s="19">
        <v>43</v>
      </c>
    </row>
    <row r="105" spans="1:6">
      <c r="A105" s="17">
        <v>47594</v>
      </c>
      <c r="B105" s="18" t="s">
        <v>257</v>
      </c>
      <c r="C105" s="22">
        <v>9</v>
      </c>
      <c r="D105" s="23">
        <v>300</v>
      </c>
      <c r="E105" s="19">
        <v>2700</v>
      </c>
      <c r="F105" s="19">
        <v>1782</v>
      </c>
    </row>
    <row r="106" spans="1:6">
      <c r="A106" s="17">
        <v>46972</v>
      </c>
      <c r="B106" s="18" t="s">
        <v>253</v>
      </c>
      <c r="C106" s="22">
        <v>6</v>
      </c>
      <c r="D106" s="23">
        <v>50</v>
      </c>
      <c r="E106" s="19">
        <v>300</v>
      </c>
      <c r="F106" s="19">
        <v>237</v>
      </c>
    </row>
    <row r="107" spans="1:6">
      <c r="A107" s="17">
        <v>45891</v>
      </c>
      <c r="B107" s="18" t="s">
        <v>257</v>
      </c>
      <c r="C107" s="22">
        <v>15</v>
      </c>
      <c r="D107" s="23">
        <v>300</v>
      </c>
      <c r="E107" s="19">
        <v>4500</v>
      </c>
      <c r="F107" s="19">
        <v>1620</v>
      </c>
    </row>
    <row r="108" spans="1:6">
      <c r="A108" s="24">
        <v>47429</v>
      </c>
      <c r="B108" s="25" t="s">
        <v>248</v>
      </c>
      <c r="C108" s="22">
        <v>17</v>
      </c>
      <c r="D108" s="23">
        <v>20</v>
      </c>
      <c r="E108" s="19">
        <v>340</v>
      </c>
      <c r="F108" s="19">
        <v>204</v>
      </c>
    </row>
    <row r="109" spans="1:6">
      <c r="A109" s="17">
        <v>46445</v>
      </c>
      <c r="B109" s="18" t="s">
        <v>254</v>
      </c>
      <c r="C109" s="22">
        <v>10</v>
      </c>
      <c r="D109" s="23">
        <v>1000</v>
      </c>
      <c r="E109" s="19">
        <v>10000</v>
      </c>
      <c r="F109" s="19">
        <v>4400</v>
      </c>
    </row>
    <row r="110" spans="1:6">
      <c r="A110" s="17">
        <v>47118</v>
      </c>
      <c r="B110" s="18" t="s">
        <v>257</v>
      </c>
      <c r="C110" s="22">
        <v>12</v>
      </c>
      <c r="D110" s="23">
        <v>300</v>
      </c>
      <c r="E110" s="19">
        <v>3600</v>
      </c>
      <c r="F110" s="19">
        <v>2664</v>
      </c>
    </row>
    <row r="111" spans="1:6">
      <c r="A111" s="17">
        <v>45851</v>
      </c>
      <c r="B111" s="18" t="s">
        <v>251</v>
      </c>
      <c r="C111" s="22">
        <v>5</v>
      </c>
      <c r="D111" s="23">
        <v>40</v>
      </c>
      <c r="E111" s="19">
        <v>200</v>
      </c>
      <c r="F111" s="19">
        <v>156</v>
      </c>
    </row>
    <row r="112" spans="1:6">
      <c r="A112" s="17">
        <v>46243</v>
      </c>
      <c r="B112" s="18" t="s">
        <v>253</v>
      </c>
      <c r="C112" s="22">
        <v>5</v>
      </c>
      <c r="D112" s="23">
        <v>50</v>
      </c>
      <c r="E112" s="19">
        <v>250</v>
      </c>
      <c r="F112" s="19">
        <v>172.5</v>
      </c>
    </row>
    <row r="113" spans="1:6">
      <c r="A113" s="24">
        <v>46303</v>
      </c>
      <c r="B113" s="25" t="s">
        <v>255</v>
      </c>
      <c r="C113" s="22">
        <v>11</v>
      </c>
      <c r="D113" s="23">
        <v>150</v>
      </c>
      <c r="E113" s="19">
        <v>1650</v>
      </c>
      <c r="F113" s="19">
        <v>874.5</v>
      </c>
    </row>
    <row r="114" spans="1:6">
      <c r="A114" s="17">
        <v>46738</v>
      </c>
      <c r="B114" s="18" t="s">
        <v>253</v>
      </c>
      <c r="C114" s="22">
        <v>14</v>
      </c>
      <c r="D114" s="23">
        <v>50</v>
      </c>
      <c r="E114" s="19">
        <v>700</v>
      </c>
      <c r="F114" s="19">
        <v>441</v>
      </c>
    </row>
    <row r="115" spans="1:6">
      <c r="A115" s="17">
        <v>46362</v>
      </c>
      <c r="B115" s="18" t="s">
        <v>248</v>
      </c>
      <c r="C115" s="22">
        <v>6</v>
      </c>
      <c r="D115" s="23">
        <v>20</v>
      </c>
      <c r="E115" s="19">
        <v>120</v>
      </c>
      <c r="F115" s="19">
        <v>42</v>
      </c>
    </row>
    <row r="116" spans="1:6">
      <c r="A116" s="17">
        <v>47271</v>
      </c>
      <c r="B116" s="18" t="s">
        <v>252</v>
      </c>
      <c r="C116" s="22">
        <v>12</v>
      </c>
      <c r="D116" s="23">
        <v>15</v>
      </c>
      <c r="E116" s="19">
        <v>180</v>
      </c>
      <c r="F116" s="19">
        <v>126</v>
      </c>
    </row>
    <row r="117" spans="1:6">
      <c r="A117" s="17">
        <v>46638</v>
      </c>
      <c r="B117" s="18" t="s">
        <v>252</v>
      </c>
      <c r="C117" s="22">
        <v>18</v>
      </c>
      <c r="D117" s="23">
        <v>15</v>
      </c>
      <c r="E117" s="19">
        <v>270</v>
      </c>
      <c r="F117" s="19">
        <v>81</v>
      </c>
    </row>
    <row r="118" spans="1:6">
      <c r="A118" s="24">
        <v>47064</v>
      </c>
      <c r="B118" s="25" t="s">
        <v>248</v>
      </c>
      <c r="C118" s="22">
        <v>8</v>
      </c>
      <c r="D118" s="23">
        <v>20</v>
      </c>
      <c r="E118" s="19">
        <v>160</v>
      </c>
      <c r="F118" s="19">
        <v>99.2</v>
      </c>
    </row>
    <row r="119" spans="1:6">
      <c r="A119" s="24">
        <v>47400</v>
      </c>
      <c r="B119" s="25" t="s">
        <v>256</v>
      </c>
      <c r="C119" s="22">
        <v>9</v>
      </c>
      <c r="D119" s="23">
        <v>200</v>
      </c>
      <c r="E119" s="19">
        <v>1800</v>
      </c>
      <c r="F119" s="19">
        <v>828</v>
      </c>
    </row>
    <row r="120" spans="1:6">
      <c r="A120" s="17">
        <v>47442</v>
      </c>
      <c r="B120" s="18" t="s">
        <v>249</v>
      </c>
      <c r="C120" s="22">
        <v>20</v>
      </c>
      <c r="D120" s="23">
        <v>25</v>
      </c>
      <c r="E120" s="19">
        <v>500</v>
      </c>
      <c r="F120" s="19">
        <v>215</v>
      </c>
    </row>
    <row r="121" spans="1:6">
      <c r="A121" s="24">
        <v>46000</v>
      </c>
      <c r="B121" s="25" t="s">
        <v>251</v>
      </c>
      <c r="C121" s="22">
        <v>14</v>
      </c>
      <c r="D121" s="23">
        <v>40</v>
      </c>
      <c r="E121" s="19">
        <v>560</v>
      </c>
      <c r="F121" s="19">
        <v>229.6</v>
      </c>
    </row>
    <row r="122" spans="1:6">
      <c r="A122" s="24">
        <v>46558</v>
      </c>
      <c r="B122" s="25" t="s">
        <v>251</v>
      </c>
      <c r="C122" s="22">
        <v>4</v>
      </c>
      <c r="D122" s="23">
        <v>40</v>
      </c>
      <c r="E122" s="19">
        <v>160</v>
      </c>
      <c r="F122" s="19">
        <v>81.599999999999994</v>
      </c>
    </row>
    <row r="123" spans="1:6">
      <c r="A123" s="24">
        <v>47406</v>
      </c>
      <c r="B123" s="25" t="s">
        <v>253</v>
      </c>
      <c r="C123" s="22">
        <v>14</v>
      </c>
      <c r="D123" s="23">
        <v>50</v>
      </c>
      <c r="E123" s="19">
        <v>700</v>
      </c>
      <c r="F123" s="19">
        <v>308</v>
      </c>
    </row>
    <row r="124" spans="1:6">
      <c r="A124" s="17">
        <v>47086</v>
      </c>
      <c r="B124" s="18" t="s">
        <v>253</v>
      </c>
      <c r="C124" s="22">
        <v>5</v>
      </c>
      <c r="D124" s="23">
        <v>50</v>
      </c>
      <c r="E124" s="19">
        <v>250</v>
      </c>
      <c r="F124" s="19">
        <v>197.5</v>
      </c>
    </row>
    <row r="125" spans="1:6">
      <c r="A125" s="17">
        <v>46996</v>
      </c>
      <c r="B125" s="18" t="s">
        <v>252</v>
      </c>
      <c r="C125" s="22">
        <v>7</v>
      </c>
      <c r="D125" s="23">
        <v>15</v>
      </c>
      <c r="E125" s="19">
        <v>105</v>
      </c>
      <c r="F125" s="19">
        <v>31.5</v>
      </c>
    </row>
    <row r="126" spans="1:6">
      <c r="A126" s="24">
        <v>46933</v>
      </c>
      <c r="B126" s="25" t="s">
        <v>252</v>
      </c>
      <c r="C126" s="22">
        <v>19</v>
      </c>
      <c r="D126" s="23">
        <v>15</v>
      </c>
      <c r="E126" s="19">
        <v>285</v>
      </c>
      <c r="F126" s="19">
        <v>159.6</v>
      </c>
    </row>
    <row r="127" spans="1:6">
      <c r="A127" s="24">
        <v>47343</v>
      </c>
      <c r="B127" s="25" t="s">
        <v>253</v>
      </c>
      <c r="C127" s="22">
        <v>17</v>
      </c>
      <c r="D127" s="23">
        <v>50</v>
      </c>
      <c r="E127" s="19">
        <v>850</v>
      </c>
      <c r="F127" s="19">
        <v>416.5</v>
      </c>
    </row>
    <row r="128" spans="1:6">
      <c r="A128" s="17">
        <v>45709</v>
      </c>
      <c r="B128" s="18" t="s">
        <v>257</v>
      </c>
      <c r="C128" s="22">
        <v>6</v>
      </c>
      <c r="D128" s="23">
        <v>300</v>
      </c>
      <c r="E128" s="19">
        <v>1800</v>
      </c>
      <c r="F128" s="19">
        <v>918</v>
      </c>
    </row>
    <row r="129" spans="1:6">
      <c r="A129" s="17">
        <v>47455</v>
      </c>
      <c r="B129" s="18" t="s">
        <v>257</v>
      </c>
      <c r="C129" s="22">
        <v>6</v>
      </c>
      <c r="D129" s="23">
        <v>300</v>
      </c>
      <c r="E129" s="19">
        <v>1800</v>
      </c>
      <c r="F129" s="19">
        <v>810</v>
      </c>
    </row>
    <row r="130" spans="1:6">
      <c r="A130" s="24">
        <v>47527</v>
      </c>
      <c r="B130" s="25" t="s">
        <v>249</v>
      </c>
      <c r="C130" s="22">
        <v>18</v>
      </c>
      <c r="D130" s="23">
        <v>25</v>
      </c>
      <c r="E130" s="19">
        <v>450</v>
      </c>
      <c r="F130" s="19">
        <v>207</v>
      </c>
    </row>
    <row r="131" spans="1:6">
      <c r="A131" s="17">
        <v>46929</v>
      </c>
      <c r="B131" s="18" t="s">
        <v>253</v>
      </c>
      <c r="C131" s="22">
        <v>18</v>
      </c>
      <c r="D131" s="23">
        <v>50</v>
      </c>
      <c r="E131" s="19">
        <v>900</v>
      </c>
      <c r="F131" s="19">
        <v>639</v>
      </c>
    </row>
    <row r="132" spans="1:6">
      <c r="A132" s="17">
        <v>46389</v>
      </c>
      <c r="B132" s="18" t="s">
        <v>257</v>
      </c>
      <c r="C132" s="22">
        <v>10</v>
      </c>
      <c r="D132" s="23">
        <v>300</v>
      </c>
      <c r="E132" s="19">
        <v>3000</v>
      </c>
      <c r="F132" s="19">
        <v>1290</v>
      </c>
    </row>
    <row r="133" spans="1:6">
      <c r="A133" s="17">
        <v>47225</v>
      </c>
      <c r="B133" s="18" t="s">
        <v>250</v>
      </c>
      <c r="C133" s="22">
        <v>16</v>
      </c>
      <c r="D133" s="23">
        <v>30</v>
      </c>
      <c r="E133" s="19">
        <v>480</v>
      </c>
      <c r="F133" s="19">
        <v>302.39999999999998</v>
      </c>
    </row>
    <row r="134" spans="1:6">
      <c r="A134" s="24">
        <v>47475</v>
      </c>
      <c r="B134" s="25" t="s">
        <v>254</v>
      </c>
      <c r="C134" s="22">
        <v>10</v>
      </c>
      <c r="D134" s="23">
        <v>1000</v>
      </c>
      <c r="E134" s="19">
        <v>10000</v>
      </c>
      <c r="F134" s="19">
        <v>7600</v>
      </c>
    </row>
    <row r="135" spans="1:6">
      <c r="A135" s="17">
        <v>45860</v>
      </c>
      <c r="B135" s="18" t="s">
        <v>254</v>
      </c>
      <c r="C135" s="22">
        <v>15</v>
      </c>
      <c r="D135" s="23">
        <v>1000</v>
      </c>
      <c r="E135" s="19">
        <v>15000</v>
      </c>
      <c r="F135" s="19">
        <v>5250</v>
      </c>
    </row>
    <row r="136" spans="1:6">
      <c r="A136" s="17">
        <v>47371</v>
      </c>
      <c r="B136" s="18" t="s">
        <v>257</v>
      </c>
      <c r="C136" s="22">
        <v>18</v>
      </c>
      <c r="D136" s="23">
        <v>300</v>
      </c>
      <c r="E136" s="19">
        <v>5400</v>
      </c>
      <c r="F136" s="19">
        <v>3132</v>
      </c>
    </row>
    <row r="137" spans="1:6">
      <c r="A137" s="17">
        <v>46498</v>
      </c>
      <c r="B137" s="18" t="s">
        <v>250</v>
      </c>
      <c r="C137" s="22">
        <v>10</v>
      </c>
      <c r="D137" s="23">
        <v>30</v>
      </c>
      <c r="E137" s="19">
        <v>300</v>
      </c>
      <c r="F137" s="19">
        <v>213</v>
      </c>
    </row>
    <row r="138" spans="1:6">
      <c r="A138" s="17">
        <v>47638</v>
      </c>
      <c r="B138" s="18" t="s">
        <v>253</v>
      </c>
      <c r="C138" s="22">
        <v>2</v>
      </c>
      <c r="D138" s="23">
        <v>50</v>
      </c>
      <c r="E138" s="19">
        <v>100</v>
      </c>
      <c r="F138" s="19">
        <v>32</v>
      </c>
    </row>
    <row r="139" spans="1:6">
      <c r="A139" s="17">
        <v>46725</v>
      </c>
      <c r="B139" s="18" t="s">
        <v>257</v>
      </c>
      <c r="C139" s="22">
        <v>6</v>
      </c>
      <c r="D139" s="23">
        <v>300</v>
      </c>
      <c r="E139" s="19">
        <v>1800</v>
      </c>
      <c r="F139" s="19">
        <v>990</v>
      </c>
    </row>
    <row r="140" spans="1:6">
      <c r="A140" s="24">
        <v>46108</v>
      </c>
      <c r="B140" s="25" t="s">
        <v>248</v>
      </c>
      <c r="C140" s="22">
        <v>15</v>
      </c>
      <c r="D140" s="23">
        <v>20</v>
      </c>
      <c r="E140" s="19">
        <v>300</v>
      </c>
      <c r="F140" s="19">
        <v>174</v>
      </c>
    </row>
    <row r="141" spans="1:6">
      <c r="A141" s="24">
        <v>45857</v>
      </c>
      <c r="B141" s="25" t="s">
        <v>252</v>
      </c>
      <c r="C141" s="22">
        <v>14</v>
      </c>
      <c r="D141" s="23">
        <v>15</v>
      </c>
      <c r="E141" s="19">
        <v>210</v>
      </c>
      <c r="F141" s="19">
        <v>77.7</v>
      </c>
    </row>
    <row r="142" spans="1:6">
      <c r="A142" s="24">
        <v>47724</v>
      </c>
      <c r="B142" s="25" t="s">
        <v>252</v>
      </c>
      <c r="C142" s="22">
        <v>18</v>
      </c>
      <c r="D142" s="23">
        <v>15</v>
      </c>
      <c r="E142" s="19">
        <v>270</v>
      </c>
      <c r="F142" s="19">
        <v>159.30000000000001</v>
      </c>
    </row>
    <row r="143" spans="1:6">
      <c r="A143" s="17">
        <v>45659</v>
      </c>
      <c r="B143" s="18" t="s">
        <v>251</v>
      </c>
      <c r="C143" s="22">
        <v>12</v>
      </c>
      <c r="D143" s="23">
        <v>40</v>
      </c>
      <c r="E143" s="19">
        <v>480</v>
      </c>
      <c r="F143" s="19">
        <v>230.4</v>
      </c>
    </row>
    <row r="144" spans="1:6">
      <c r="A144" s="24">
        <v>47305</v>
      </c>
      <c r="B144" s="25" t="s">
        <v>254</v>
      </c>
      <c r="C144" s="22">
        <v>12</v>
      </c>
      <c r="D144" s="23">
        <v>1000</v>
      </c>
      <c r="E144" s="19">
        <v>12000</v>
      </c>
      <c r="F144" s="19">
        <v>8760</v>
      </c>
    </row>
    <row r="145" spans="1:6">
      <c r="A145" s="17">
        <v>46106</v>
      </c>
      <c r="B145" s="18" t="s">
        <v>254</v>
      </c>
      <c r="C145" s="22">
        <v>16</v>
      </c>
      <c r="D145" s="23">
        <v>1000</v>
      </c>
      <c r="E145" s="19">
        <v>16000</v>
      </c>
      <c r="F145" s="19">
        <v>8320</v>
      </c>
    </row>
    <row r="146" spans="1:6">
      <c r="A146" s="17">
        <v>46775</v>
      </c>
      <c r="B146" s="18" t="s">
        <v>254</v>
      </c>
      <c r="C146" s="22">
        <v>6</v>
      </c>
      <c r="D146" s="23">
        <v>1000</v>
      </c>
      <c r="E146" s="19">
        <v>6000</v>
      </c>
      <c r="F146" s="19">
        <v>2100</v>
      </c>
    </row>
    <row r="147" spans="1:6">
      <c r="A147" s="17">
        <v>46921</v>
      </c>
      <c r="B147" s="18" t="s">
        <v>252</v>
      </c>
      <c r="C147" s="22">
        <v>7</v>
      </c>
      <c r="D147" s="23">
        <v>15</v>
      </c>
      <c r="E147" s="19">
        <v>105</v>
      </c>
      <c r="F147" s="19">
        <v>71.400000000000006</v>
      </c>
    </row>
    <row r="148" spans="1:6">
      <c r="A148" s="24">
        <v>47137</v>
      </c>
      <c r="B148" s="25" t="s">
        <v>249</v>
      </c>
      <c r="C148" s="22">
        <v>17</v>
      </c>
      <c r="D148" s="23">
        <v>25</v>
      </c>
      <c r="E148" s="19">
        <v>425</v>
      </c>
      <c r="F148" s="19">
        <v>174.25</v>
      </c>
    </row>
    <row r="149" spans="1:6">
      <c r="A149" s="17">
        <v>46681</v>
      </c>
      <c r="B149" s="18" t="s">
        <v>253</v>
      </c>
      <c r="C149" s="22">
        <v>2</v>
      </c>
      <c r="D149" s="23">
        <v>50</v>
      </c>
      <c r="E149" s="19">
        <v>100</v>
      </c>
      <c r="F149" s="19">
        <v>80</v>
      </c>
    </row>
    <row r="150" spans="1:6">
      <c r="A150" s="17">
        <v>47080</v>
      </c>
      <c r="B150" s="18" t="s">
        <v>252</v>
      </c>
      <c r="C150" s="22">
        <v>4</v>
      </c>
      <c r="D150" s="23">
        <v>15</v>
      </c>
      <c r="E150" s="19">
        <v>60</v>
      </c>
      <c r="F150" s="19">
        <v>34.200000000000003</v>
      </c>
    </row>
    <row r="151" spans="1:6">
      <c r="A151" s="17">
        <v>47605</v>
      </c>
      <c r="B151" s="18" t="s">
        <v>251</v>
      </c>
      <c r="C151" s="22">
        <v>11</v>
      </c>
      <c r="D151" s="23">
        <v>40</v>
      </c>
      <c r="E151" s="19">
        <v>440</v>
      </c>
      <c r="F151" s="19">
        <v>184.8</v>
      </c>
    </row>
    <row r="152" spans="1:6">
      <c r="A152" s="24">
        <v>46730</v>
      </c>
      <c r="B152" s="25" t="s">
        <v>252</v>
      </c>
      <c r="C152" s="22">
        <v>11</v>
      </c>
      <c r="D152" s="23">
        <v>15</v>
      </c>
      <c r="E152" s="19">
        <v>165</v>
      </c>
      <c r="F152" s="19">
        <v>49.5</v>
      </c>
    </row>
    <row r="153" spans="1:6">
      <c r="A153" s="17">
        <v>45720</v>
      </c>
      <c r="B153" s="18" t="s">
        <v>248</v>
      </c>
      <c r="C153" s="22">
        <v>2</v>
      </c>
      <c r="D153" s="23">
        <v>20</v>
      </c>
      <c r="E153" s="19">
        <v>40</v>
      </c>
      <c r="F153" s="19">
        <v>16</v>
      </c>
    </row>
    <row r="154" spans="1:6">
      <c r="A154" s="17">
        <v>45727</v>
      </c>
      <c r="B154" s="18" t="s">
        <v>249</v>
      </c>
      <c r="C154" s="22">
        <v>7</v>
      </c>
      <c r="D154" s="23">
        <v>25</v>
      </c>
      <c r="E154" s="19">
        <v>175</v>
      </c>
      <c r="F154" s="19">
        <v>124.25</v>
      </c>
    </row>
    <row r="155" spans="1:6">
      <c r="A155" s="24">
        <v>46425</v>
      </c>
      <c r="B155" s="25" t="s">
        <v>249</v>
      </c>
      <c r="C155" s="22">
        <v>4</v>
      </c>
      <c r="D155" s="23">
        <v>25</v>
      </c>
      <c r="E155" s="19">
        <v>100</v>
      </c>
      <c r="F155" s="19">
        <v>61</v>
      </c>
    </row>
    <row r="156" spans="1:6">
      <c r="A156" s="17">
        <v>47205</v>
      </c>
      <c r="B156" s="18" t="s">
        <v>257</v>
      </c>
      <c r="C156" s="22">
        <v>6</v>
      </c>
      <c r="D156" s="23">
        <v>300</v>
      </c>
      <c r="E156" s="19">
        <v>1800</v>
      </c>
      <c r="F156" s="19">
        <v>1368</v>
      </c>
    </row>
    <row r="157" spans="1:6">
      <c r="A157" s="24">
        <v>46264</v>
      </c>
      <c r="B157" s="25" t="s">
        <v>257</v>
      </c>
      <c r="C157" s="22">
        <v>10</v>
      </c>
      <c r="D157" s="23">
        <v>300</v>
      </c>
      <c r="E157" s="19">
        <v>3000</v>
      </c>
      <c r="F157" s="19">
        <v>1050</v>
      </c>
    </row>
    <row r="158" spans="1:6">
      <c r="A158" s="17">
        <v>47783</v>
      </c>
      <c r="B158" s="18" t="s">
        <v>254</v>
      </c>
      <c r="C158" s="22">
        <v>17</v>
      </c>
      <c r="D158" s="23">
        <v>1000</v>
      </c>
      <c r="E158" s="19">
        <v>17000</v>
      </c>
      <c r="F158" s="19">
        <v>12750</v>
      </c>
    </row>
    <row r="159" spans="1:6">
      <c r="A159" s="17">
        <v>46765</v>
      </c>
      <c r="B159" s="18" t="s">
        <v>249</v>
      </c>
      <c r="C159" s="22">
        <v>9</v>
      </c>
      <c r="D159" s="23">
        <v>25</v>
      </c>
      <c r="E159" s="19">
        <v>225</v>
      </c>
      <c r="F159" s="19">
        <v>112.5</v>
      </c>
    </row>
    <row r="160" spans="1:6">
      <c r="A160" s="17">
        <v>46931</v>
      </c>
      <c r="B160" s="18" t="s">
        <v>255</v>
      </c>
      <c r="C160" s="22">
        <v>11</v>
      </c>
      <c r="D160" s="23">
        <v>150</v>
      </c>
      <c r="E160" s="19">
        <v>1650</v>
      </c>
      <c r="F160" s="19">
        <v>742.5</v>
      </c>
    </row>
    <row r="161" spans="1:16">
      <c r="A161" s="24">
        <v>46324</v>
      </c>
      <c r="B161" s="25" t="s">
        <v>250</v>
      </c>
      <c r="C161" s="22">
        <v>14</v>
      </c>
      <c r="D161" s="23">
        <v>30</v>
      </c>
      <c r="E161" s="19">
        <v>420</v>
      </c>
      <c r="F161" s="19">
        <v>142.80000000000001</v>
      </c>
      <c r="I161"/>
      <c r="J161"/>
      <c r="K161"/>
      <c r="L161"/>
      <c r="M161"/>
      <c r="N161"/>
      <c r="O161"/>
      <c r="P161"/>
    </row>
    <row r="162" spans="1:16">
      <c r="A162" s="17">
        <v>46318</v>
      </c>
      <c r="B162" s="18" t="s">
        <v>252</v>
      </c>
      <c r="C162" s="22">
        <v>10</v>
      </c>
      <c r="D162" s="23">
        <v>15</v>
      </c>
      <c r="E162" s="19">
        <v>150</v>
      </c>
      <c r="F162" s="19">
        <v>81</v>
      </c>
      <c r="I162"/>
      <c r="J162"/>
      <c r="K162"/>
      <c r="L162"/>
      <c r="M162"/>
      <c r="N162"/>
      <c r="O162"/>
      <c r="P162"/>
    </row>
    <row r="163" spans="1:16">
      <c r="I163"/>
      <c r="J163"/>
      <c r="K163"/>
      <c r="L163"/>
      <c r="M163"/>
      <c r="N163"/>
      <c r="O163"/>
      <c r="P163"/>
    </row>
    <row r="164" spans="1:16">
      <c r="I164"/>
      <c r="J164"/>
      <c r="K164"/>
      <c r="L164"/>
      <c r="M164"/>
      <c r="N164"/>
      <c r="O164"/>
      <c r="P164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B1A97-4DB7-6648-BB48-C1BC9A93EA0A}">
  <sheetPr>
    <tabColor theme="9" tint="0.79998168889431442"/>
  </sheetPr>
  <dimension ref="A1:G305"/>
  <sheetViews>
    <sheetView showGridLines="0" zoomScaleNormal="100" workbookViewId="0"/>
  </sheetViews>
  <sheetFormatPr baseColWidth="10" defaultColWidth="11.44140625" defaultRowHeight="14.4"/>
  <cols>
    <col min="1" max="1" width="15.77734375" style="21" customWidth="1"/>
    <col min="2" max="3" width="17.77734375" style="21" customWidth="1"/>
    <col min="4" max="4" width="5.77734375" style="21" customWidth="1"/>
    <col min="5" max="6" width="17.77734375" style="21" customWidth="1"/>
    <col min="7" max="16384" width="11.44140625" style="21"/>
  </cols>
  <sheetData>
    <row r="1" spans="1:7">
      <c r="A1" s="33" t="s">
        <v>132</v>
      </c>
      <c r="B1" s="74"/>
      <c r="C1" s="74"/>
      <c r="D1" s="74"/>
      <c r="E1" s="74"/>
      <c r="F1" s="74"/>
    </row>
    <row r="2" spans="1:7">
      <c r="A2" s="35" t="s">
        <v>1119</v>
      </c>
      <c r="B2" s="73"/>
      <c r="C2" s="73"/>
      <c r="D2" s="73"/>
      <c r="E2" s="73"/>
      <c r="F2" s="73"/>
    </row>
    <row r="3" spans="1:7">
      <c r="A3" s="76" t="s">
        <v>401</v>
      </c>
      <c r="B3" s="73"/>
      <c r="C3" s="73"/>
      <c r="D3" s="73"/>
      <c r="E3" s="73"/>
      <c r="F3" s="73"/>
    </row>
    <row r="5" spans="1:7">
      <c r="A5" s="54" t="s">
        <v>402</v>
      </c>
      <c r="B5" s="54" t="s">
        <v>399</v>
      </c>
      <c r="C5" s="55" t="s">
        <v>374</v>
      </c>
      <c r="E5" s="75" t="s">
        <v>399</v>
      </c>
      <c r="F5" s="75" t="s">
        <v>400</v>
      </c>
      <c r="G5" s="26"/>
    </row>
    <row r="6" spans="1:7">
      <c r="A6" s="17" t="s">
        <v>403</v>
      </c>
      <c r="B6" s="77" t="s">
        <v>375</v>
      </c>
      <c r="C6" s="77">
        <v>15387</v>
      </c>
      <c r="E6" s="18" t="s">
        <v>380</v>
      </c>
      <c r="F6" s="18" t="s">
        <v>396</v>
      </c>
      <c r="G6" s="26"/>
    </row>
    <row r="7" spans="1:7">
      <c r="A7" s="17" t="s">
        <v>404</v>
      </c>
      <c r="B7" s="77" t="s">
        <v>391</v>
      </c>
      <c r="C7" s="77">
        <v>7199</v>
      </c>
      <c r="E7" s="18" t="s">
        <v>385</v>
      </c>
      <c r="F7" s="18" t="s">
        <v>396</v>
      </c>
      <c r="G7" s="26"/>
    </row>
    <row r="8" spans="1:7">
      <c r="A8" s="17" t="s">
        <v>405</v>
      </c>
      <c r="B8" s="77" t="s">
        <v>386</v>
      </c>
      <c r="C8" s="77">
        <v>7722</v>
      </c>
      <c r="E8" s="18" t="s">
        <v>386</v>
      </c>
      <c r="F8" s="18" t="s">
        <v>396</v>
      </c>
      <c r="G8" s="26"/>
    </row>
    <row r="9" spans="1:7">
      <c r="A9" s="17" t="s">
        <v>406</v>
      </c>
      <c r="B9" s="77" t="s">
        <v>378</v>
      </c>
      <c r="C9" s="77">
        <v>15385</v>
      </c>
      <c r="E9" s="18" t="s">
        <v>379</v>
      </c>
      <c r="F9" s="18" t="s">
        <v>395</v>
      </c>
      <c r="G9" s="26"/>
    </row>
    <row r="10" spans="1:7">
      <c r="A10" s="17" t="s">
        <v>407</v>
      </c>
      <c r="B10" s="77" t="s">
        <v>389</v>
      </c>
      <c r="C10" s="77">
        <v>7956</v>
      </c>
      <c r="E10" s="18" t="s">
        <v>389</v>
      </c>
      <c r="F10" s="18" t="s">
        <v>395</v>
      </c>
      <c r="G10" s="26"/>
    </row>
    <row r="11" spans="1:7">
      <c r="A11" s="17" t="s">
        <v>408</v>
      </c>
      <c r="B11" s="77" t="s">
        <v>392</v>
      </c>
      <c r="C11" s="77">
        <v>13088</v>
      </c>
      <c r="E11" s="18" t="s">
        <v>390</v>
      </c>
      <c r="F11" s="18" t="s">
        <v>395</v>
      </c>
      <c r="G11" s="26"/>
    </row>
    <row r="12" spans="1:7">
      <c r="A12" s="17" t="s">
        <v>409</v>
      </c>
      <c r="B12" s="77" t="s">
        <v>388</v>
      </c>
      <c r="C12" s="77">
        <v>16308</v>
      </c>
      <c r="E12" s="18" t="s">
        <v>378</v>
      </c>
      <c r="F12" s="18" t="s">
        <v>394</v>
      </c>
      <c r="G12" s="26"/>
    </row>
    <row r="13" spans="1:7">
      <c r="A13" s="17" t="s">
        <v>410</v>
      </c>
      <c r="B13" s="77" t="s">
        <v>384</v>
      </c>
      <c r="C13" s="77">
        <v>20306</v>
      </c>
      <c r="E13" s="18" t="s">
        <v>382</v>
      </c>
      <c r="F13" s="18" t="s">
        <v>394</v>
      </c>
      <c r="G13" s="26"/>
    </row>
    <row r="14" spans="1:7">
      <c r="A14" s="17" t="s">
        <v>411</v>
      </c>
      <c r="B14" s="77" t="s">
        <v>378</v>
      </c>
      <c r="C14" s="77">
        <v>21024</v>
      </c>
      <c r="E14" s="18" t="s">
        <v>387</v>
      </c>
      <c r="F14" s="18" t="s">
        <v>394</v>
      </c>
      <c r="G14" s="26"/>
    </row>
    <row r="15" spans="1:7">
      <c r="A15" s="17" t="s">
        <v>722</v>
      </c>
      <c r="B15" s="77" t="s">
        <v>380</v>
      </c>
      <c r="C15" s="77">
        <v>7128</v>
      </c>
      <c r="E15" s="18" t="s">
        <v>391</v>
      </c>
      <c r="F15" s="18" t="s">
        <v>398</v>
      </c>
      <c r="G15" s="26"/>
    </row>
    <row r="16" spans="1:7">
      <c r="A16" s="17" t="s">
        <v>412</v>
      </c>
      <c r="B16" s="77" t="s">
        <v>382</v>
      </c>
      <c r="C16" s="77">
        <v>7163</v>
      </c>
      <c r="E16" s="18" t="s">
        <v>388</v>
      </c>
      <c r="F16" s="18" t="s">
        <v>398</v>
      </c>
      <c r="G16" s="26"/>
    </row>
    <row r="17" spans="1:7">
      <c r="A17" s="17" t="s">
        <v>413</v>
      </c>
      <c r="B17" s="77" t="s">
        <v>383</v>
      </c>
      <c r="C17" s="77">
        <v>11016</v>
      </c>
      <c r="E17" s="18" t="s">
        <v>392</v>
      </c>
      <c r="F17" s="18" t="s">
        <v>398</v>
      </c>
      <c r="G17" s="26"/>
    </row>
    <row r="18" spans="1:7">
      <c r="A18" s="17" t="s">
        <v>414</v>
      </c>
      <c r="B18" s="77" t="s">
        <v>385</v>
      </c>
      <c r="C18" s="77">
        <v>18538</v>
      </c>
      <c r="E18" s="18" t="s">
        <v>375</v>
      </c>
      <c r="F18" s="18" t="s">
        <v>393</v>
      </c>
      <c r="G18" s="26"/>
    </row>
    <row r="19" spans="1:7">
      <c r="A19" s="17" t="s">
        <v>415</v>
      </c>
      <c r="B19" s="77" t="s">
        <v>392</v>
      </c>
      <c r="C19" s="77">
        <v>22707</v>
      </c>
      <c r="E19" s="18" t="s">
        <v>377</v>
      </c>
      <c r="F19" s="18" t="s">
        <v>393</v>
      </c>
      <c r="G19" s="26"/>
    </row>
    <row r="20" spans="1:7">
      <c r="A20" s="17" t="s">
        <v>416</v>
      </c>
      <c r="B20" s="77" t="s">
        <v>382</v>
      </c>
      <c r="C20" s="77">
        <v>2523</v>
      </c>
      <c r="E20" s="18" t="s">
        <v>376</v>
      </c>
      <c r="F20" s="18" t="s">
        <v>393</v>
      </c>
      <c r="G20" s="26"/>
    </row>
    <row r="21" spans="1:7">
      <c r="A21" s="17" t="s">
        <v>417</v>
      </c>
      <c r="B21" s="77" t="s">
        <v>378</v>
      </c>
      <c r="C21" s="77">
        <v>2500</v>
      </c>
      <c r="E21" s="18" t="s">
        <v>381</v>
      </c>
      <c r="F21" s="18" t="s">
        <v>397</v>
      </c>
      <c r="G21" s="26"/>
    </row>
    <row r="22" spans="1:7">
      <c r="A22" s="17" t="s">
        <v>418</v>
      </c>
      <c r="B22" s="77" t="s">
        <v>389</v>
      </c>
      <c r="C22" s="77">
        <v>16978</v>
      </c>
      <c r="E22" s="18" t="s">
        <v>383</v>
      </c>
      <c r="F22" s="18" t="s">
        <v>397</v>
      </c>
      <c r="G22" s="26"/>
    </row>
    <row r="23" spans="1:7">
      <c r="A23" s="17" t="s">
        <v>419</v>
      </c>
      <c r="B23" s="77" t="s">
        <v>386</v>
      </c>
      <c r="C23" s="77">
        <v>15192</v>
      </c>
      <c r="E23" s="18" t="s">
        <v>384</v>
      </c>
      <c r="F23" s="18" t="s">
        <v>397</v>
      </c>
    </row>
    <row r="24" spans="1:7">
      <c r="A24" s="17" t="s">
        <v>420</v>
      </c>
      <c r="B24" s="77" t="s">
        <v>387</v>
      </c>
      <c r="C24" s="77">
        <v>18080</v>
      </c>
    </row>
    <row r="25" spans="1:7">
      <c r="A25" s="17" t="s">
        <v>723</v>
      </c>
      <c r="B25" s="77" t="s">
        <v>387</v>
      </c>
      <c r="C25" s="77">
        <v>12660</v>
      </c>
    </row>
    <row r="26" spans="1:7">
      <c r="A26" s="17" t="s">
        <v>421</v>
      </c>
      <c r="B26" s="77" t="s">
        <v>378</v>
      </c>
      <c r="C26" s="77">
        <v>7296</v>
      </c>
    </row>
    <row r="27" spans="1:7">
      <c r="A27" s="17" t="s">
        <v>422</v>
      </c>
      <c r="B27" s="77" t="s">
        <v>377</v>
      </c>
      <c r="C27" s="77">
        <v>1190</v>
      </c>
    </row>
    <row r="28" spans="1:7">
      <c r="A28" s="17" t="s">
        <v>423</v>
      </c>
      <c r="B28" s="77" t="s">
        <v>390</v>
      </c>
      <c r="C28" s="77">
        <v>13050</v>
      </c>
    </row>
    <row r="29" spans="1:7">
      <c r="A29" s="17" t="s">
        <v>424</v>
      </c>
      <c r="B29" s="77" t="s">
        <v>389</v>
      </c>
      <c r="C29" s="77">
        <v>19118</v>
      </c>
    </row>
    <row r="30" spans="1:7">
      <c r="A30" s="17" t="s">
        <v>425</v>
      </c>
      <c r="B30" s="77" t="s">
        <v>377</v>
      </c>
      <c r="C30" s="77">
        <v>16464</v>
      </c>
    </row>
    <row r="31" spans="1:7">
      <c r="A31" s="17" t="s">
        <v>426</v>
      </c>
      <c r="B31" s="77" t="s">
        <v>382</v>
      </c>
      <c r="C31" s="77">
        <v>10608</v>
      </c>
    </row>
    <row r="32" spans="1:7">
      <c r="A32" s="17" t="s">
        <v>427</v>
      </c>
      <c r="B32" s="77" t="s">
        <v>378</v>
      </c>
      <c r="C32" s="77">
        <v>2828</v>
      </c>
    </row>
    <row r="33" spans="1:3">
      <c r="A33" s="17" t="s">
        <v>428</v>
      </c>
      <c r="B33" s="77" t="s">
        <v>375</v>
      </c>
      <c r="C33" s="77">
        <v>16215</v>
      </c>
    </row>
    <row r="34" spans="1:3">
      <c r="A34" s="17" t="s">
        <v>429</v>
      </c>
      <c r="B34" s="77" t="s">
        <v>380</v>
      </c>
      <c r="C34" s="77">
        <v>12663</v>
      </c>
    </row>
    <row r="35" spans="1:3">
      <c r="A35" s="17" t="s">
        <v>724</v>
      </c>
      <c r="B35" s="77" t="s">
        <v>378</v>
      </c>
      <c r="C35" s="77">
        <v>2730</v>
      </c>
    </row>
    <row r="36" spans="1:3">
      <c r="A36" s="17" t="s">
        <v>430</v>
      </c>
      <c r="B36" s="77" t="s">
        <v>375</v>
      </c>
      <c r="C36" s="77">
        <v>19430</v>
      </c>
    </row>
    <row r="37" spans="1:3">
      <c r="A37" s="17" t="s">
        <v>431</v>
      </c>
      <c r="B37" s="77" t="s">
        <v>386</v>
      </c>
      <c r="C37" s="77">
        <v>17603</v>
      </c>
    </row>
    <row r="38" spans="1:3">
      <c r="A38" s="17" t="s">
        <v>432</v>
      </c>
      <c r="B38" s="77" t="s">
        <v>383</v>
      </c>
      <c r="C38" s="77">
        <v>17342</v>
      </c>
    </row>
    <row r="39" spans="1:3">
      <c r="A39" s="17" t="s">
        <v>433</v>
      </c>
      <c r="B39" s="77" t="s">
        <v>383</v>
      </c>
      <c r="C39" s="77">
        <v>6188</v>
      </c>
    </row>
    <row r="40" spans="1:3">
      <c r="A40" s="17" t="s">
        <v>434</v>
      </c>
      <c r="B40" s="77" t="s">
        <v>390</v>
      </c>
      <c r="C40" s="77">
        <v>4439</v>
      </c>
    </row>
    <row r="41" spans="1:3">
      <c r="A41" s="17" t="s">
        <v>435</v>
      </c>
      <c r="B41" s="77" t="s">
        <v>380</v>
      </c>
      <c r="C41" s="77">
        <v>3120</v>
      </c>
    </row>
    <row r="42" spans="1:3">
      <c r="A42" s="17" t="s">
        <v>436</v>
      </c>
      <c r="B42" s="77" t="s">
        <v>389</v>
      </c>
      <c r="C42" s="77">
        <v>11180</v>
      </c>
    </row>
    <row r="43" spans="1:3">
      <c r="A43" s="17" t="s">
        <v>437</v>
      </c>
      <c r="B43" s="77" t="s">
        <v>377</v>
      </c>
      <c r="C43" s="77">
        <v>7920</v>
      </c>
    </row>
    <row r="44" spans="1:3">
      <c r="A44" s="17" t="s">
        <v>438</v>
      </c>
      <c r="B44" s="77" t="s">
        <v>381</v>
      </c>
      <c r="C44" s="77">
        <v>14076</v>
      </c>
    </row>
    <row r="45" spans="1:3">
      <c r="A45" s="17" t="s">
        <v>725</v>
      </c>
      <c r="B45" s="77" t="s">
        <v>381</v>
      </c>
      <c r="C45" s="77">
        <v>18316</v>
      </c>
    </row>
    <row r="46" spans="1:3">
      <c r="A46" s="17" t="s">
        <v>439</v>
      </c>
      <c r="B46" s="77" t="s">
        <v>391</v>
      </c>
      <c r="C46" s="77">
        <v>13286</v>
      </c>
    </row>
    <row r="47" spans="1:3">
      <c r="A47" s="17" t="s">
        <v>440</v>
      </c>
      <c r="B47" s="77" t="s">
        <v>379</v>
      </c>
      <c r="C47" s="77">
        <v>10506</v>
      </c>
    </row>
    <row r="48" spans="1:3">
      <c r="A48" s="17" t="s">
        <v>441</v>
      </c>
      <c r="B48" s="77" t="s">
        <v>382</v>
      </c>
      <c r="C48" s="77">
        <v>22008</v>
      </c>
    </row>
    <row r="49" spans="1:3">
      <c r="A49" s="17" t="s">
        <v>442</v>
      </c>
      <c r="B49" s="77" t="s">
        <v>379</v>
      </c>
      <c r="C49" s="77">
        <v>23128</v>
      </c>
    </row>
    <row r="50" spans="1:3">
      <c r="A50" s="17" t="s">
        <v>443</v>
      </c>
      <c r="B50" s="77" t="s">
        <v>379</v>
      </c>
      <c r="C50" s="77">
        <v>24240</v>
      </c>
    </row>
    <row r="51" spans="1:3">
      <c r="A51" s="17" t="s">
        <v>444</v>
      </c>
      <c r="B51" s="77" t="s">
        <v>381</v>
      </c>
      <c r="C51" s="77">
        <v>2952</v>
      </c>
    </row>
    <row r="52" spans="1:3">
      <c r="A52" s="17" t="s">
        <v>445</v>
      </c>
      <c r="B52" s="77" t="s">
        <v>386</v>
      </c>
      <c r="C52" s="77">
        <v>1944</v>
      </c>
    </row>
    <row r="53" spans="1:3">
      <c r="A53" s="17" t="s">
        <v>446</v>
      </c>
      <c r="B53" s="77" t="s">
        <v>376</v>
      </c>
      <c r="C53" s="77">
        <v>3655</v>
      </c>
    </row>
    <row r="54" spans="1:3">
      <c r="A54" s="17" t="s">
        <v>447</v>
      </c>
      <c r="B54" s="77" t="s">
        <v>392</v>
      </c>
      <c r="C54" s="77">
        <v>14444</v>
      </c>
    </row>
    <row r="55" spans="1:3">
      <c r="A55" s="17" t="s">
        <v>726</v>
      </c>
      <c r="B55" s="77" t="s">
        <v>385</v>
      </c>
      <c r="C55" s="77">
        <v>20160</v>
      </c>
    </row>
    <row r="56" spans="1:3">
      <c r="A56" s="17" t="s">
        <v>448</v>
      </c>
      <c r="B56" s="77" t="s">
        <v>392</v>
      </c>
      <c r="C56" s="77">
        <v>14297</v>
      </c>
    </row>
    <row r="57" spans="1:3">
      <c r="A57" s="17" t="s">
        <v>449</v>
      </c>
      <c r="B57" s="77" t="s">
        <v>391</v>
      </c>
      <c r="C57" s="77">
        <v>15675</v>
      </c>
    </row>
    <row r="58" spans="1:3">
      <c r="A58" s="17" t="s">
        <v>450</v>
      </c>
      <c r="B58" s="77" t="s">
        <v>381</v>
      </c>
      <c r="C58" s="77">
        <v>1152</v>
      </c>
    </row>
    <row r="59" spans="1:3">
      <c r="A59" s="17" t="s">
        <v>451</v>
      </c>
      <c r="B59" s="77" t="s">
        <v>390</v>
      </c>
      <c r="C59" s="77">
        <v>17125</v>
      </c>
    </row>
    <row r="60" spans="1:3">
      <c r="A60" s="17" t="s">
        <v>452</v>
      </c>
      <c r="B60" s="77" t="s">
        <v>390</v>
      </c>
      <c r="C60" s="77">
        <v>3808</v>
      </c>
    </row>
    <row r="61" spans="1:3">
      <c r="A61" s="17" t="s">
        <v>453</v>
      </c>
      <c r="B61" s="77" t="s">
        <v>381</v>
      </c>
      <c r="C61" s="77">
        <v>5205</v>
      </c>
    </row>
    <row r="62" spans="1:3">
      <c r="A62" s="17" t="s">
        <v>454</v>
      </c>
      <c r="B62" s="77" t="s">
        <v>384</v>
      </c>
      <c r="C62" s="77">
        <v>11856</v>
      </c>
    </row>
    <row r="63" spans="1:3">
      <c r="A63" s="17" t="s">
        <v>455</v>
      </c>
      <c r="B63" s="77" t="s">
        <v>392</v>
      </c>
      <c r="C63" s="77">
        <v>7348</v>
      </c>
    </row>
    <row r="64" spans="1:3">
      <c r="A64" s="17" t="s">
        <v>456</v>
      </c>
      <c r="B64" s="77" t="s">
        <v>391</v>
      </c>
      <c r="C64" s="77">
        <v>624</v>
      </c>
    </row>
    <row r="65" spans="1:3">
      <c r="A65" s="17" t="s">
        <v>727</v>
      </c>
      <c r="B65" s="77" t="s">
        <v>379</v>
      </c>
      <c r="C65" s="77">
        <v>11638</v>
      </c>
    </row>
    <row r="66" spans="1:3">
      <c r="A66" s="17" t="s">
        <v>457</v>
      </c>
      <c r="B66" s="77" t="s">
        <v>392</v>
      </c>
      <c r="C66" s="77">
        <v>7098</v>
      </c>
    </row>
    <row r="67" spans="1:3">
      <c r="A67" s="17" t="s">
        <v>458</v>
      </c>
      <c r="B67" s="77" t="s">
        <v>390</v>
      </c>
      <c r="C67" s="77">
        <v>9672</v>
      </c>
    </row>
    <row r="68" spans="1:3">
      <c r="A68" s="17" t="s">
        <v>459</v>
      </c>
      <c r="B68" s="77" t="s">
        <v>390</v>
      </c>
      <c r="C68" s="77">
        <v>29040</v>
      </c>
    </row>
    <row r="69" spans="1:3">
      <c r="A69" s="17" t="s">
        <v>460</v>
      </c>
      <c r="B69" s="77" t="s">
        <v>381</v>
      </c>
      <c r="C69" s="77">
        <v>26992</v>
      </c>
    </row>
    <row r="70" spans="1:3">
      <c r="A70" s="17" t="s">
        <v>461</v>
      </c>
      <c r="B70" s="77" t="s">
        <v>392</v>
      </c>
      <c r="C70" s="77">
        <v>17535</v>
      </c>
    </row>
    <row r="71" spans="1:3">
      <c r="A71" s="17" t="s">
        <v>462</v>
      </c>
      <c r="B71" s="77" t="s">
        <v>383</v>
      </c>
      <c r="C71" s="77">
        <v>11500</v>
      </c>
    </row>
    <row r="72" spans="1:3">
      <c r="A72" s="17" t="s">
        <v>463</v>
      </c>
      <c r="B72" s="77" t="s">
        <v>389</v>
      </c>
      <c r="C72" s="77">
        <v>3996</v>
      </c>
    </row>
    <row r="73" spans="1:3">
      <c r="A73" s="17" t="s">
        <v>464</v>
      </c>
      <c r="B73" s="77" t="s">
        <v>381</v>
      </c>
      <c r="C73" s="77">
        <v>14130</v>
      </c>
    </row>
    <row r="74" spans="1:3">
      <c r="A74" s="17" t="s">
        <v>465</v>
      </c>
      <c r="B74" s="77" t="s">
        <v>376</v>
      </c>
      <c r="C74" s="77">
        <v>7336</v>
      </c>
    </row>
    <row r="75" spans="1:3">
      <c r="A75" s="17" t="s">
        <v>728</v>
      </c>
      <c r="B75" s="77" t="s">
        <v>385</v>
      </c>
      <c r="C75" s="77">
        <v>9135</v>
      </c>
    </row>
    <row r="76" spans="1:3">
      <c r="A76" s="17" t="s">
        <v>466</v>
      </c>
      <c r="B76" s="77" t="s">
        <v>384</v>
      </c>
      <c r="C76" s="77">
        <v>3016</v>
      </c>
    </row>
    <row r="77" spans="1:3">
      <c r="A77" s="17" t="s">
        <v>467</v>
      </c>
      <c r="B77" s="77" t="s">
        <v>387</v>
      </c>
      <c r="C77" s="77">
        <v>5572</v>
      </c>
    </row>
    <row r="78" spans="1:3">
      <c r="A78" s="17" t="s">
        <v>468</v>
      </c>
      <c r="B78" s="77" t="s">
        <v>377</v>
      </c>
      <c r="C78" s="77">
        <v>6579</v>
      </c>
    </row>
    <row r="79" spans="1:3">
      <c r="A79" s="17" t="s">
        <v>469</v>
      </c>
      <c r="B79" s="77" t="s">
        <v>384</v>
      </c>
      <c r="C79" s="77">
        <v>2740</v>
      </c>
    </row>
    <row r="80" spans="1:3">
      <c r="A80" s="17" t="s">
        <v>470</v>
      </c>
      <c r="B80" s="77" t="s">
        <v>387</v>
      </c>
      <c r="C80" s="77">
        <v>3630</v>
      </c>
    </row>
    <row r="81" spans="1:3">
      <c r="A81" s="17" t="s">
        <v>471</v>
      </c>
      <c r="B81" s="77" t="s">
        <v>375</v>
      </c>
      <c r="C81" s="77">
        <v>15498</v>
      </c>
    </row>
    <row r="82" spans="1:3">
      <c r="A82" s="17" t="s">
        <v>472</v>
      </c>
      <c r="B82" s="77" t="s">
        <v>382</v>
      </c>
      <c r="C82" s="77">
        <v>18193</v>
      </c>
    </row>
    <row r="83" spans="1:3">
      <c r="A83" s="17" t="s">
        <v>473</v>
      </c>
      <c r="B83" s="77" t="s">
        <v>385</v>
      </c>
      <c r="C83" s="77">
        <v>697</v>
      </c>
    </row>
    <row r="84" spans="1:3">
      <c r="A84" s="17" t="s">
        <v>474</v>
      </c>
      <c r="B84" s="77" t="s">
        <v>381</v>
      </c>
      <c r="C84" s="77">
        <v>14427</v>
      </c>
    </row>
    <row r="85" spans="1:3">
      <c r="A85" s="17" t="s">
        <v>729</v>
      </c>
      <c r="B85" s="77" t="s">
        <v>391</v>
      </c>
      <c r="C85" s="77">
        <v>24810</v>
      </c>
    </row>
    <row r="86" spans="1:3">
      <c r="A86" s="17" t="s">
        <v>475</v>
      </c>
      <c r="B86" s="77" t="s">
        <v>389</v>
      </c>
      <c r="C86" s="77">
        <v>13700</v>
      </c>
    </row>
    <row r="87" spans="1:3">
      <c r="A87" s="17" t="s">
        <v>476</v>
      </c>
      <c r="B87" s="77" t="s">
        <v>384</v>
      </c>
      <c r="C87" s="77">
        <v>3652</v>
      </c>
    </row>
    <row r="88" spans="1:3">
      <c r="A88" s="17" t="s">
        <v>477</v>
      </c>
      <c r="B88" s="77" t="s">
        <v>379</v>
      </c>
      <c r="C88" s="77">
        <v>20384</v>
      </c>
    </row>
    <row r="89" spans="1:3">
      <c r="A89" s="17" t="s">
        <v>478</v>
      </c>
      <c r="B89" s="77" t="s">
        <v>382</v>
      </c>
      <c r="C89" s="77">
        <v>1620</v>
      </c>
    </row>
    <row r="90" spans="1:3">
      <c r="A90" s="17" t="s">
        <v>479</v>
      </c>
      <c r="B90" s="77" t="s">
        <v>389</v>
      </c>
      <c r="C90" s="77">
        <v>17689</v>
      </c>
    </row>
    <row r="91" spans="1:3">
      <c r="A91" s="17" t="s">
        <v>480</v>
      </c>
      <c r="B91" s="77" t="s">
        <v>382</v>
      </c>
      <c r="C91" s="77">
        <v>2706</v>
      </c>
    </row>
    <row r="92" spans="1:3">
      <c r="A92" s="17" t="s">
        <v>481</v>
      </c>
      <c r="B92" s="77" t="s">
        <v>391</v>
      </c>
      <c r="C92" s="77">
        <v>22464</v>
      </c>
    </row>
    <row r="93" spans="1:3">
      <c r="A93" s="17" t="s">
        <v>482</v>
      </c>
      <c r="B93" s="77" t="s">
        <v>387</v>
      </c>
      <c r="C93" s="77">
        <v>4584</v>
      </c>
    </row>
    <row r="94" spans="1:3">
      <c r="A94" s="17" t="s">
        <v>483</v>
      </c>
      <c r="B94" s="77" t="s">
        <v>379</v>
      </c>
      <c r="C94" s="77">
        <v>3780</v>
      </c>
    </row>
    <row r="95" spans="1:3">
      <c r="A95" s="17" t="s">
        <v>730</v>
      </c>
      <c r="B95" s="77" t="s">
        <v>390</v>
      </c>
      <c r="C95" s="77">
        <v>14150</v>
      </c>
    </row>
    <row r="96" spans="1:3">
      <c r="A96" s="17" t="s">
        <v>484</v>
      </c>
      <c r="B96" s="77" t="s">
        <v>376</v>
      </c>
      <c r="C96" s="77">
        <v>17472</v>
      </c>
    </row>
    <row r="97" spans="1:3">
      <c r="A97" s="17" t="s">
        <v>485</v>
      </c>
      <c r="B97" s="77" t="s">
        <v>386</v>
      </c>
      <c r="C97" s="77">
        <v>2835</v>
      </c>
    </row>
    <row r="98" spans="1:3">
      <c r="A98" s="17" t="s">
        <v>486</v>
      </c>
      <c r="B98" s="77" t="s">
        <v>381</v>
      </c>
      <c r="C98" s="77">
        <v>9520</v>
      </c>
    </row>
    <row r="99" spans="1:3">
      <c r="A99" s="17" t="s">
        <v>487</v>
      </c>
      <c r="B99" s="77" t="s">
        <v>381</v>
      </c>
      <c r="C99" s="77">
        <v>14432</v>
      </c>
    </row>
    <row r="100" spans="1:3">
      <c r="A100" s="17" t="s">
        <v>488</v>
      </c>
      <c r="B100" s="77" t="s">
        <v>377</v>
      </c>
      <c r="C100" s="77">
        <v>8928</v>
      </c>
    </row>
    <row r="101" spans="1:3">
      <c r="A101" s="17" t="s">
        <v>489</v>
      </c>
      <c r="B101" s="77" t="s">
        <v>378</v>
      </c>
      <c r="C101" s="77">
        <v>3888</v>
      </c>
    </row>
    <row r="102" spans="1:3">
      <c r="A102" s="17" t="s">
        <v>490</v>
      </c>
      <c r="B102" s="77" t="s">
        <v>388</v>
      </c>
      <c r="C102" s="77">
        <v>20118</v>
      </c>
    </row>
    <row r="103" spans="1:3">
      <c r="A103" s="17" t="s">
        <v>491</v>
      </c>
      <c r="B103" s="77" t="s">
        <v>377</v>
      </c>
      <c r="C103" s="77">
        <v>14712</v>
      </c>
    </row>
    <row r="104" spans="1:3">
      <c r="A104" s="17" t="s">
        <v>492</v>
      </c>
      <c r="B104" s="77" t="s">
        <v>382</v>
      </c>
      <c r="C104" s="77">
        <v>16283</v>
      </c>
    </row>
    <row r="105" spans="1:3">
      <c r="A105" s="17" t="s">
        <v>731</v>
      </c>
      <c r="B105" s="77" t="s">
        <v>381</v>
      </c>
      <c r="C105" s="77">
        <v>13944</v>
      </c>
    </row>
    <row r="106" spans="1:3">
      <c r="A106" s="17" t="s">
        <v>732</v>
      </c>
      <c r="B106" s="77" t="s">
        <v>387</v>
      </c>
      <c r="C106" s="77">
        <v>12190</v>
      </c>
    </row>
    <row r="107" spans="1:3">
      <c r="A107" s="17" t="s">
        <v>733</v>
      </c>
      <c r="B107" s="77" t="s">
        <v>390</v>
      </c>
      <c r="C107" s="77">
        <v>21141</v>
      </c>
    </row>
    <row r="108" spans="1:3">
      <c r="A108" s="17" t="s">
        <v>734</v>
      </c>
      <c r="B108" s="77" t="s">
        <v>381</v>
      </c>
      <c r="C108" s="77">
        <v>27840</v>
      </c>
    </row>
    <row r="109" spans="1:3">
      <c r="A109" s="17" t="s">
        <v>735</v>
      </c>
      <c r="B109" s="77" t="s">
        <v>381</v>
      </c>
      <c r="C109" s="77">
        <v>22800</v>
      </c>
    </row>
    <row r="110" spans="1:3">
      <c r="A110" s="17" t="s">
        <v>736</v>
      </c>
      <c r="B110" s="77" t="s">
        <v>383</v>
      </c>
      <c r="C110" s="77">
        <v>1680</v>
      </c>
    </row>
    <row r="111" spans="1:3">
      <c r="A111" s="17" t="s">
        <v>737</v>
      </c>
      <c r="B111" s="77" t="s">
        <v>390</v>
      </c>
      <c r="C111" s="77">
        <v>1012</v>
      </c>
    </row>
    <row r="112" spans="1:3">
      <c r="A112" s="17" t="s">
        <v>738</v>
      </c>
      <c r="B112" s="77" t="s">
        <v>383</v>
      </c>
      <c r="C112" s="77">
        <v>13904</v>
      </c>
    </row>
    <row r="113" spans="1:3">
      <c r="A113" s="17" t="s">
        <v>739</v>
      </c>
      <c r="B113" s="77" t="s">
        <v>391</v>
      </c>
      <c r="C113" s="77">
        <v>19642</v>
      </c>
    </row>
    <row r="114" spans="1:3">
      <c r="A114" s="17" t="s">
        <v>740</v>
      </c>
      <c r="B114" s="77" t="s">
        <v>391</v>
      </c>
      <c r="C114" s="77">
        <v>20181</v>
      </c>
    </row>
    <row r="115" spans="1:3">
      <c r="A115" s="17" t="s">
        <v>741</v>
      </c>
      <c r="B115" s="77" t="s">
        <v>385</v>
      </c>
      <c r="C115" s="77">
        <v>8160</v>
      </c>
    </row>
    <row r="116" spans="1:3">
      <c r="A116" s="17" t="s">
        <v>493</v>
      </c>
      <c r="B116" s="77" t="s">
        <v>380</v>
      </c>
      <c r="C116" s="77">
        <v>1760</v>
      </c>
    </row>
    <row r="117" spans="1:3">
      <c r="A117" s="17" t="s">
        <v>494</v>
      </c>
      <c r="B117" s="77" t="s">
        <v>384</v>
      </c>
      <c r="C117" s="77">
        <v>19635</v>
      </c>
    </row>
    <row r="118" spans="1:3">
      <c r="A118" s="17" t="s">
        <v>495</v>
      </c>
      <c r="B118" s="77" t="s">
        <v>388</v>
      </c>
      <c r="C118" s="77">
        <v>27608</v>
      </c>
    </row>
    <row r="119" spans="1:3">
      <c r="A119" s="17" t="s">
        <v>496</v>
      </c>
      <c r="B119" s="77" t="s">
        <v>386</v>
      </c>
      <c r="C119" s="77">
        <v>5168</v>
      </c>
    </row>
    <row r="120" spans="1:3">
      <c r="A120" s="17" t="s">
        <v>497</v>
      </c>
      <c r="B120" s="77" t="s">
        <v>386</v>
      </c>
      <c r="C120" s="77">
        <v>14007</v>
      </c>
    </row>
    <row r="121" spans="1:3">
      <c r="A121" s="17" t="s">
        <v>498</v>
      </c>
      <c r="B121" s="77" t="s">
        <v>378</v>
      </c>
      <c r="C121" s="77">
        <v>10602</v>
      </c>
    </row>
    <row r="122" spans="1:3">
      <c r="A122" s="17" t="s">
        <v>499</v>
      </c>
      <c r="B122" s="77" t="s">
        <v>391</v>
      </c>
      <c r="C122" s="77">
        <v>340</v>
      </c>
    </row>
    <row r="123" spans="1:3">
      <c r="A123" s="17" t="s">
        <v>500</v>
      </c>
      <c r="B123" s="77" t="s">
        <v>380</v>
      </c>
      <c r="C123" s="77">
        <v>13486</v>
      </c>
    </row>
    <row r="124" spans="1:3">
      <c r="A124" s="17" t="s">
        <v>501</v>
      </c>
      <c r="B124" s="77" t="s">
        <v>391</v>
      </c>
      <c r="C124" s="77">
        <v>7999</v>
      </c>
    </row>
    <row r="125" spans="1:3">
      <c r="A125" s="17" t="s">
        <v>742</v>
      </c>
      <c r="B125" s="77" t="s">
        <v>391</v>
      </c>
      <c r="C125" s="77">
        <v>19250</v>
      </c>
    </row>
    <row r="126" spans="1:3">
      <c r="A126" s="17" t="s">
        <v>502</v>
      </c>
      <c r="B126" s="77" t="s">
        <v>388</v>
      </c>
      <c r="C126" s="77">
        <v>4956</v>
      </c>
    </row>
    <row r="127" spans="1:3">
      <c r="A127" s="17" t="s">
        <v>503</v>
      </c>
      <c r="B127" s="77" t="s">
        <v>388</v>
      </c>
      <c r="C127" s="77">
        <v>2163</v>
      </c>
    </row>
    <row r="128" spans="1:3">
      <c r="A128" s="17" t="s">
        <v>504</v>
      </c>
      <c r="B128" s="77" t="s">
        <v>392</v>
      </c>
      <c r="C128" s="77">
        <v>11060</v>
      </c>
    </row>
    <row r="129" spans="1:3">
      <c r="A129" s="17" t="s">
        <v>505</v>
      </c>
      <c r="B129" s="77" t="s">
        <v>381</v>
      </c>
      <c r="C129" s="77">
        <v>11424</v>
      </c>
    </row>
    <row r="130" spans="1:3">
      <c r="A130" s="17" t="s">
        <v>506</v>
      </c>
      <c r="B130" s="77" t="s">
        <v>391</v>
      </c>
      <c r="C130" s="77">
        <v>7722</v>
      </c>
    </row>
    <row r="131" spans="1:3">
      <c r="A131" s="17" t="s">
        <v>507</v>
      </c>
      <c r="B131" s="77" t="s">
        <v>383</v>
      </c>
      <c r="C131" s="77">
        <v>6996</v>
      </c>
    </row>
    <row r="132" spans="1:3">
      <c r="A132" s="17" t="s">
        <v>508</v>
      </c>
      <c r="B132" s="77" t="s">
        <v>388</v>
      </c>
      <c r="C132" s="77">
        <v>9900</v>
      </c>
    </row>
    <row r="133" spans="1:3">
      <c r="A133" s="17" t="s">
        <v>509</v>
      </c>
      <c r="B133" s="77" t="s">
        <v>391</v>
      </c>
      <c r="C133" s="77">
        <v>15288</v>
      </c>
    </row>
    <row r="134" spans="1:3">
      <c r="A134" s="17" t="s">
        <v>510</v>
      </c>
      <c r="B134" s="77" t="s">
        <v>386</v>
      </c>
      <c r="C134" s="77">
        <v>17136</v>
      </c>
    </row>
    <row r="135" spans="1:3">
      <c r="A135" s="17" t="s">
        <v>743</v>
      </c>
      <c r="B135" s="77" t="s">
        <v>375</v>
      </c>
      <c r="C135" s="77">
        <v>2392</v>
      </c>
    </row>
    <row r="136" spans="1:3">
      <c r="A136" s="17" t="s">
        <v>511</v>
      </c>
      <c r="B136" s="77" t="s">
        <v>382</v>
      </c>
      <c r="C136" s="77">
        <v>7196</v>
      </c>
    </row>
    <row r="137" spans="1:3">
      <c r="A137" s="17" t="s">
        <v>512</v>
      </c>
      <c r="B137" s="77" t="s">
        <v>383</v>
      </c>
      <c r="C137" s="77">
        <v>6650</v>
      </c>
    </row>
    <row r="138" spans="1:3">
      <c r="A138" s="17" t="s">
        <v>513</v>
      </c>
      <c r="B138" s="77" t="s">
        <v>388</v>
      </c>
      <c r="C138" s="77">
        <v>12742</v>
      </c>
    </row>
    <row r="139" spans="1:3">
      <c r="A139" s="17" t="s">
        <v>514</v>
      </c>
      <c r="B139" s="77" t="s">
        <v>377</v>
      </c>
      <c r="C139" s="77">
        <v>14670</v>
      </c>
    </row>
    <row r="140" spans="1:3">
      <c r="A140" s="17" t="s">
        <v>515</v>
      </c>
      <c r="B140" s="77" t="s">
        <v>376</v>
      </c>
      <c r="C140" s="77">
        <v>3277</v>
      </c>
    </row>
    <row r="141" spans="1:3">
      <c r="A141" s="17" t="s">
        <v>516</v>
      </c>
      <c r="B141" s="77" t="s">
        <v>381</v>
      </c>
      <c r="C141" s="77">
        <v>20874</v>
      </c>
    </row>
    <row r="142" spans="1:3">
      <c r="A142" s="17" t="s">
        <v>517</v>
      </c>
      <c r="B142" s="77" t="s">
        <v>380</v>
      </c>
      <c r="C142" s="77">
        <v>16284</v>
      </c>
    </row>
    <row r="143" spans="1:3">
      <c r="A143" s="17" t="s">
        <v>518</v>
      </c>
      <c r="B143" s="77" t="s">
        <v>380</v>
      </c>
      <c r="C143" s="77">
        <v>16414</v>
      </c>
    </row>
    <row r="144" spans="1:3">
      <c r="A144" s="17" t="s">
        <v>519</v>
      </c>
      <c r="B144" s="77" t="s">
        <v>385</v>
      </c>
      <c r="C144" s="77">
        <v>3328</v>
      </c>
    </row>
    <row r="145" spans="1:3">
      <c r="A145" s="17" t="s">
        <v>744</v>
      </c>
      <c r="B145" s="77" t="s">
        <v>383</v>
      </c>
      <c r="C145" s="77">
        <v>9338</v>
      </c>
    </row>
    <row r="146" spans="1:3">
      <c r="A146" s="17" t="s">
        <v>520</v>
      </c>
      <c r="B146" s="77" t="s">
        <v>389</v>
      </c>
      <c r="C146" s="77">
        <v>6902</v>
      </c>
    </row>
    <row r="147" spans="1:3">
      <c r="A147" s="17" t="s">
        <v>521</v>
      </c>
      <c r="B147" s="77" t="s">
        <v>391</v>
      </c>
      <c r="C147" s="77">
        <v>5096</v>
      </c>
    </row>
    <row r="148" spans="1:3">
      <c r="A148" s="17" t="s">
        <v>522</v>
      </c>
      <c r="B148" s="77" t="s">
        <v>389</v>
      </c>
      <c r="C148" s="77">
        <v>3270</v>
      </c>
    </row>
    <row r="149" spans="1:3">
      <c r="A149" s="17" t="s">
        <v>523</v>
      </c>
      <c r="B149" s="77" t="s">
        <v>375</v>
      </c>
      <c r="C149" s="77">
        <v>8959</v>
      </c>
    </row>
    <row r="150" spans="1:3">
      <c r="A150" s="17" t="s">
        <v>524</v>
      </c>
      <c r="B150" s="77" t="s">
        <v>387</v>
      </c>
      <c r="C150" s="77">
        <v>1349</v>
      </c>
    </row>
    <row r="151" spans="1:3">
      <c r="A151" s="17" t="s">
        <v>525</v>
      </c>
      <c r="B151" s="77" t="s">
        <v>386</v>
      </c>
      <c r="C151" s="77">
        <v>4840</v>
      </c>
    </row>
    <row r="152" spans="1:3">
      <c r="A152" s="17" t="s">
        <v>526</v>
      </c>
      <c r="B152" s="77" t="s">
        <v>391</v>
      </c>
      <c r="C152" s="77">
        <v>13648</v>
      </c>
    </row>
    <row r="153" spans="1:3">
      <c r="A153" s="17" t="s">
        <v>527</v>
      </c>
      <c r="B153" s="77" t="s">
        <v>382</v>
      </c>
      <c r="C153" s="77">
        <v>12540</v>
      </c>
    </row>
    <row r="154" spans="1:3">
      <c r="A154" s="17" t="s">
        <v>528</v>
      </c>
      <c r="B154" s="77" t="s">
        <v>390</v>
      </c>
      <c r="C154" s="77">
        <v>19000</v>
      </c>
    </row>
    <row r="155" spans="1:3">
      <c r="A155" s="17" t="s">
        <v>745</v>
      </c>
      <c r="B155" s="77" t="s">
        <v>375</v>
      </c>
      <c r="C155" s="77">
        <v>6475</v>
      </c>
    </row>
    <row r="156" spans="1:3">
      <c r="A156" s="17" t="s">
        <v>529</v>
      </c>
      <c r="B156" s="77" t="s">
        <v>386</v>
      </c>
      <c r="C156" s="77">
        <v>19752</v>
      </c>
    </row>
    <row r="157" spans="1:3">
      <c r="A157" s="17" t="s">
        <v>530</v>
      </c>
      <c r="B157" s="77" t="s">
        <v>389</v>
      </c>
      <c r="C157" s="77">
        <v>12673</v>
      </c>
    </row>
    <row r="158" spans="1:3">
      <c r="A158" s="17" t="s">
        <v>531</v>
      </c>
      <c r="B158" s="77" t="s">
        <v>380</v>
      </c>
      <c r="C158" s="77">
        <v>22880</v>
      </c>
    </row>
    <row r="159" spans="1:3">
      <c r="A159" s="17" t="s">
        <v>532</v>
      </c>
      <c r="B159" s="77" t="s">
        <v>375</v>
      </c>
      <c r="C159" s="77">
        <v>25542</v>
      </c>
    </row>
    <row r="160" spans="1:3">
      <c r="A160" s="17" t="s">
        <v>533</v>
      </c>
      <c r="B160" s="77" t="s">
        <v>382</v>
      </c>
      <c r="C160" s="77">
        <v>2300</v>
      </c>
    </row>
    <row r="161" spans="1:3">
      <c r="A161" s="17" t="s">
        <v>534</v>
      </c>
      <c r="B161" s="77" t="s">
        <v>376</v>
      </c>
      <c r="C161" s="77">
        <v>7644</v>
      </c>
    </row>
    <row r="162" spans="1:3">
      <c r="A162" s="17" t="s">
        <v>535</v>
      </c>
      <c r="B162" s="77" t="s">
        <v>392</v>
      </c>
      <c r="C162" s="77">
        <v>6870</v>
      </c>
    </row>
    <row r="163" spans="1:3">
      <c r="A163" s="17" t="s">
        <v>536</v>
      </c>
      <c r="B163" s="77" t="s">
        <v>387</v>
      </c>
      <c r="C163" s="77">
        <v>3264</v>
      </c>
    </row>
    <row r="164" spans="1:3">
      <c r="A164" s="17" t="s">
        <v>537</v>
      </c>
      <c r="B164" s="77" t="s">
        <v>380</v>
      </c>
      <c r="C164" s="77">
        <v>6024</v>
      </c>
    </row>
    <row r="165" spans="1:3">
      <c r="A165" s="17" t="s">
        <v>746</v>
      </c>
      <c r="B165" s="77" t="s">
        <v>392</v>
      </c>
      <c r="C165" s="77">
        <v>5600</v>
      </c>
    </row>
    <row r="166" spans="1:3">
      <c r="A166" s="17" t="s">
        <v>538</v>
      </c>
      <c r="B166" s="77" t="s">
        <v>383</v>
      </c>
      <c r="C166" s="77">
        <v>2047</v>
      </c>
    </row>
    <row r="167" spans="1:3">
      <c r="A167" s="17" t="s">
        <v>539</v>
      </c>
      <c r="B167" s="77" t="s">
        <v>378</v>
      </c>
      <c r="C167" s="77">
        <v>15561</v>
      </c>
    </row>
    <row r="168" spans="1:3">
      <c r="A168" s="17" t="s">
        <v>540</v>
      </c>
      <c r="B168" s="77" t="s">
        <v>387</v>
      </c>
      <c r="C168" s="77">
        <v>966</v>
      </c>
    </row>
    <row r="169" spans="1:3">
      <c r="A169" s="17" t="s">
        <v>541</v>
      </c>
      <c r="B169" s="77" t="s">
        <v>376</v>
      </c>
      <c r="C169" s="77">
        <v>7859</v>
      </c>
    </row>
    <row r="170" spans="1:3">
      <c r="A170" s="17" t="s">
        <v>542</v>
      </c>
      <c r="B170" s="77" t="s">
        <v>375</v>
      </c>
      <c r="C170" s="77">
        <v>12006</v>
      </c>
    </row>
    <row r="171" spans="1:3">
      <c r="A171" s="17" t="s">
        <v>543</v>
      </c>
      <c r="B171" s="77" t="s">
        <v>388</v>
      </c>
      <c r="C171" s="77">
        <v>946</v>
      </c>
    </row>
    <row r="172" spans="1:3">
      <c r="A172" s="17" t="s">
        <v>544</v>
      </c>
      <c r="B172" s="77" t="s">
        <v>375</v>
      </c>
      <c r="C172" s="77">
        <v>21868</v>
      </c>
    </row>
    <row r="173" spans="1:3">
      <c r="A173" s="17" t="s">
        <v>545</v>
      </c>
      <c r="B173" s="77" t="s">
        <v>379</v>
      </c>
      <c r="C173" s="77">
        <v>20592</v>
      </c>
    </row>
    <row r="174" spans="1:3">
      <c r="A174" s="17" t="s">
        <v>546</v>
      </c>
      <c r="B174" s="77" t="s">
        <v>375</v>
      </c>
      <c r="C174" s="77">
        <v>16082</v>
      </c>
    </row>
    <row r="175" spans="1:3">
      <c r="A175" s="17" t="s">
        <v>747</v>
      </c>
      <c r="B175" s="77" t="s">
        <v>389</v>
      </c>
      <c r="C175" s="77">
        <v>13442</v>
      </c>
    </row>
    <row r="176" spans="1:3">
      <c r="A176" s="17" t="s">
        <v>547</v>
      </c>
      <c r="B176" s="77" t="s">
        <v>389</v>
      </c>
      <c r="C176" s="77">
        <v>3570</v>
      </c>
    </row>
    <row r="177" spans="1:3">
      <c r="A177" s="17" t="s">
        <v>548</v>
      </c>
      <c r="B177" s="77" t="s">
        <v>387</v>
      </c>
      <c r="C177" s="77">
        <v>8004</v>
      </c>
    </row>
    <row r="178" spans="1:3">
      <c r="A178" s="17" t="s">
        <v>549</v>
      </c>
      <c r="B178" s="77" t="s">
        <v>380</v>
      </c>
      <c r="C178" s="77">
        <v>2600</v>
      </c>
    </row>
    <row r="179" spans="1:3">
      <c r="A179" s="17" t="s">
        <v>550</v>
      </c>
      <c r="B179" s="77" t="s">
        <v>378</v>
      </c>
      <c r="C179" s="77">
        <v>24331</v>
      </c>
    </row>
    <row r="180" spans="1:3">
      <c r="A180" s="17" t="s">
        <v>551</v>
      </c>
      <c r="B180" s="77" t="s">
        <v>388</v>
      </c>
      <c r="C180" s="77">
        <v>17052</v>
      </c>
    </row>
    <row r="181" spans="1:3">
      <c r="A181" s="17" t="s">
        <v>552</v>
      </c>
      <c r="B181" s="77" t="s">
        <v>387</v>
      </c>
      <c r="C181" s="77">
        <v>11928</v>
      </c>
    </row>
    <row r="182" spans="1:3">
      <c r="A182" s="17" t="s">
        <v>553</v>
      </c>
      <c r="B182" s="77" t="s">
        <v>383</v>
      </c>
      <c r="C182" s="77">
        <v>3260</v>
      </c>
    </row>
    <row r="183" spans="1:3">
      <c r="A183" s="17" t="s">
        <v>554</v>
      </c>
      <c r="B183" s="77" t="s">
        <v>384</v>
      </c>
      <c r="C183" s="77">
        <v>1992</v>
      </c>
    </row>
    <row r="184" spans="1:3">
      <c r="A184" s="17" t="s">
        <v>555</v>
      </c>
      <c r="B184" s="77" t="s">
        <v>384</v>
      </c>
      <c r="C184" s="77">
        <v>9456</v>
      </c>
    </row>
    <row r="185" spans="1:3">
      <c r="A185" s="17" t="s">
        <v>748</v>
      </c>
      <c r="B185" s="77" t="s">
        <v>382</v>
      </c>
      <c r="C185" s="77">
        <v>2268</v>
      </c>
    </row>
    <row r="186" spans="1:3">
      <c r="A186" s="17" t="s">
        <v>556</v>
      </c>
      <c r="B186" s="77" t="s">
        <v>391</v>
      </c>
      <c r="C186" s="77">
        <v>20700</v>
      </c>
    </row>
    <row r="187" spans="1:3">
      <c r="A187" s="17" t="s">
        <v>557</v>
      </c>
      <c r="B187" s="77" t="s">
        <v>383</v>
      </c>
      <c r="C187" s="77">
        <v>5500</v>
      </c>
    </row>
    <row r="188" spans="1:3">
      <c r="A188" s="17" t="s">
        <v>558</v>
      </c>
      <c r="B188" s="77" t="s">
        <v>391</v>
      </c>
      <c r="C188" s="77">
        <v>14766</v>
      </c>
    </row>
    <row r="189" spans="1:3">
      <c r="A189" s="17" t="s">
        <v>559</v>
      </c>
      <c r="B189" s="77" t="s">
        <v>385</v>
      </c>
      <c r="C189" s="77">
        <v>5073</v>
      </c>
    </row>
    <row r="190" spans="1:3">
      <c r="A190" s="17" t="s">
        <v>560</v>
      </c>
      <c r="B190" s="77" t="s">
        <v>384</v>
      </c>
      <c r="C190" s="77">
        <v>1800</v>
      </c>
    </row>
    <row r="191" spans="1:3">
      <c r="A191" s="17" t="s">
        <v>561</v>
      </c>
      <c r="B191" s="77" t="s">
        <v>378</v>
      </c>
      <c r="C191" s="77">
        <v>19575</v>
      </c>
    </row>
    <row r="192" spans="1:3">
      <c r="A192" s="17" t="s">
        <v>562</v>
      </c>
      <c r="B192" s="77" t="s">
        <v>376</v>
      </c>
      <c r="C192" s="77">
        <v>6135</v>
      </c>
    </row>
    <row r="193" spans="1:3">
      <c r="A193" s="17" t="s">
        <v>563</v>
      </c>
      <c r="B193" s="77" t="s">
        <v>378</v>
      </c>
      <c r="C193" s="77">
        <v>6570</v>
      </c>
    </row>
    <row r="194" spans="1:3">
      <c r="A194" s="17" t="s">
        <v>564</v>
      </c>
      <c r="B194" s="77" t="s">
        <v>387</v>
      </c>
      <c r="C194" s="77">
        <v>5380</v>
      </c>
    </row>
    <row r="195" spans="1:3">
      <c r="A195" s="17" t="s">
        <v>749</v>
      </c>
      <c r="B195" s="77" t="s">
        <v>391</v>
      </c>
      <c r="C195" s="77">
        <v>11196</v>
      </c>
    </row>
    <row r="196" spans="1:3">
      <c r="A196" s="17" t="s">
        <v>565</v>
      </c>
      <c r="B196" s="77" t="s">
        <v>378</v>
      </c>
      <c r="C196" s="77">
        <v>12855</v>
      </c>
    </row>
    <row r="197" spans="1:3">
      <c r="A197" s="17" t="s">
        <v>566</v>
      </c>
      <c r="B197" s="77" t="s">
        <v>390</v>
      </c>
      <c r="C197" s="77">
        <v>377</v>
      </c>
    </row>
    <row r="198" spans="1:3">
      <c r="A198" s="17" t="s">
        <v>567</v>
      </c>
      <c r="B198" s="77" t="s">
        <v>377</v>
      </c>
      <c r="C198" s="77">
        <v>14041</v>
      </c>
    </row>
    <row r="199" spans="1:3">
      <c r="A199" s="17" t="s">
        <v>568</v>
      </c>
      <c r="B199" s="77" t="s">
        <v>380</v>
      </c>
      <c r="C199" s="77">
        <v>18912</v>
      </c>
    </row>
    <row r="200" spans="1:3">
      <c r="A200" s="17" t="s">
        <v>569</v>
      </c>
      <c r="B200" s="77" t="s">
        <v>377</v>
      </c>
      <c r="C200" s="77">
        <v>14229</v>
      </c>
    </row>
    <row r="201" spans="1:3">
      <c r="A201" s="17" t="s">
        <v>570</v>
      </c>
      <c r="B201" s="77" t="s">
        <v>386</v>
      </c>
      <c r="C201" s="77">
        <v>9367</v>
      </c>
    </row>
    <row r="202" spans="1:3">
      <c r="A202" s="17" t="s">
        <v>571</v>
      </c>
      <c r="B202" s="77" t="s">
        <v>389</v>
      </c>
      <c r="C202" s="77">
        <v>2700</v>
      </c>
    </row>
    <row r="203" spans="1:3">
      <c r="A203" s="17" t="s">
        <v>572</v>
      </c>
      <c r="B203" s="77" t="s">
        <v>384</v>
      </c>
      <c r="C203" s="77">
        <v>21956</v>
      </c>
    </row>
    <row r="204" spans="1:3">
      <c r="A204" s="17" t="s">
        <v>573</v>
      </c>
      <c r="B204" s="77" t="s">
        <v>389</v>
      </c>
      <c r="C204" s="77">
        <v>5610</v>
      </c>
    </row>
    <row r="205" spans="1:3">
      <c r="A205" s="17" t="s">
        <v>750</v>
      </c>
      <c r="B205" s="77" t="s">
        <v>384</v>
      </c>
      <c r="C205" s="77">
        <v>15100</v>
      </c>
    </row>
    <row r="206" spans="1:3">
      <c r="A206" s="17" t="s">
        <v>751</v>
      </c>
      <c r="B206" s="77" t="s">
        <v>387</v>
      </c>
      <c r="C206" s="77">
        <v>21034</v>
      </c>
    </row>
    <row r="207" spans="1:3">
      <c r="A207" s="17" t="s">
        <v>752</v>
      </c>
      <c r="B207" s="77" t="s">
        <v>386</v>
      </c>
      <c r="C207" s="77">
        <v>2312</v>
      </c>
    </row>
    <row r="208" spans="1:3">
      <c r="A208" s="17" t="s">
        <v>753</v>
      </c>
      <c r="B208" s="77" t="s">
        <v>383</v>
      </c>
      <c r="C208" s="77">
        <v>9913</v>
      </c>
    </row>
    <row r="209" spans="1:3">
      <c r="A209" s="17" t="s">
        <v>754</v>
      </c>
      <c r="B209" s="77" t="s">
        <v>389</v>
      </c>
      <c r="C209" s="77">
        <v>9552</v>
      </c>
    </row>
    <row r="210" spans="1:3">
      <c r="A210" s="17" t="s">
        <v>755</v>
      </c>
      <c r="B210" s="77" t="s">
        <v>375</v>
      </c>
      <c r="C210" s="77">
        <v>18962</v>
      </c>
    </row>
    <row r="211" spans="1:3">
      <c r="A211" s="17" t="s">
        <v>756</v>
      </c>
      <c r="B211" s="77" t="s">
        <v>377</v>
      </c>
      <c r="C211" s="77">
        <v>3840</v>
      </c>
    </row>
    <row r="212" spans="1:3">
      <c r="A212" s="17" t="s">
        <v>757</v>
      </c>
      <c r="B212" s="77" t="s">
        <v>382</v>
      </c>
      <c r="C212" s="77">
        <v>2980</v>
      </c>
    </row>
    <row r="213" spans="1:3">
      <c r="A213" s="17" t="s">
        <v>758</v>
      </c>
      <c r="B213" s="77" t="s">
        <v>391</v>
      </c>
      <c r="C213" s="77">
        <v>20592</v>
      </c>
    </row>
    <row r="214" spans="1:3">
      <c r="A214" s="17" t="s">
        <v>759</v>
      </c>
      <c r="B214" s="77" t="s">
        <v>379</v>
      </c>
      <c r="C214" s="77">
        <v>308</v>
      </c>
    </row>
    <row r="215" spans="1:3">
      <c r="A215" s="17" t="s">
        <v>760</v>
      </c>
      <c r="B215" s="77" t="s">
        <v>384</v>
      </c>
      <c r="C215" s="77">
        <v>14544</v>
      </c>
    </row>
    <row r="216" spans="1:3">
      <c r="A216" s="17" t="s">
        <v>574</v>
      </c>
      <c r="B216" s="77" t="s">
        <v>382</v>
      </c>
      <c r="C216" s="77">
        <v>19470</v>
      </c>
    </row>
    <row r="217" spans="1:3">
      <c r="A217" s="17" t="s">
        <v>575</v>
      </c>
      <c r="B217" s="77" t="s">
        <v>381</v>
      </c>
      <c r="C217" s="77">
        <v>12806</v>
      </c>
    </row>
    <row r="218" spans="1:3">
      <c r="A218" s="17" t="s">
        <v>576</v>
      </c>
      <c r="B218" s="77" t="s">
        <v>385</v>
      </c>
      <c r="C218" s="77">
        <v>12528</v>
      </c>
    </row>
    <row r="219" spans="1:3">
      <c r="A219" s="17" t="s">
        <v>577</v>
      </c>
      <c r="B219" s="77" t="s">
        <v>388</v>
      </c>
      <c r="C219" s="77">
        <v>5899</v>
      </c>
    </row>
    <row r="220" spans="1:3">
      <c r="A220" s="17" t="s">
        <v>578</v>
      </c>
      <c r="B220" s="77" t="s">
        <v>385</v>
      </c>
      <c r="C220" s="77">
        <v>14000</v>
      </c>
    </row>
    <row r="221" spans="1:3">
      <c r="A221" s="17" t="s">
        <v>579</v>
      </c>
      <c r="B221" s="77" t="s">
        <v>380</v>
      </c>
      <c r="C221" s="77">
        <v>11220</v>
      </c>
    </row>
    <row r="222" spans="1:3">
      <c r="A222" s="17" t="s">
        <v>580</v>
      </c>
      <c r="B222" s="77" t="s">
        <v>388</v>
      </c>
      <c r="C222" s="77">
        <v>9288</v>
      </c>
    </row>
    <row r="223" spans="1:3">
      <c r="A223" s="17" t="s">
        <v>581</v>
      </c>
      <c r="B223" s="77" t="s">
        <v>381</v>
      </c>
      <c r="C223" s="77">
        <v>1710</v>
      </c>
    </row>
    <row r="224" spans="1:3">
      <c r="A224" s="17" t="s">
        <v>582</v>
      </c>
      <c r="B224" s="77" t="s">
        <v>384</v>
      </c>
      <c r="C224" s="77">
        <v>7277</v>
      </c>
    </row>
    <row r="225" spans="1:3">
      <c r="A225" s="17" t="s">
        <v>761</v>
      </c>
      <c r="B225" s="77" t="s">
        <v>380</v>
      </c>
      <c r="C225" s="77">
        <v>27057</v>
      </c>
    </row>
    <row r="226" spans="1:3">
      <c r="A226" s="17" t="s">
        <v>583</v>
      </c>
      <c r="B226" s="77" t="s">
        <v>390</v>
      </c>
      <c r="C226" s="77">
        <v>1876</v>
      </c>
    </row>
    <row r="227" spans="1:3">
      <c r="A227" s="17" t="s">
        <v>584</v>
      </c>
      <c r="B227" s="77" t="s">
        <v>391</v>
      </c>
      <c r="C227" s="77">
        <v>14750</v>
      </c>
    </row>
    <row r="228" spans="1:3">
      <c r="A228" s="17" t="s">
        <v>585</v>
      </c>
      <c r="B228" s="77" t="s">
        <v>390</v>
      </c>
      <c r="C228" s="77">
        <v>18720</v>
      </c>
    </row>
    <row r="229" spans="1:3">
      <c r="A229" s="17" t="s">
        <v>586</v>
      </c>
      <c r="B229" s="77" t="s">
        <v>384</v>
      </c>
      <c r="C229" s="77">
        <v>14098</v>
      </c>
    </row>
    <row r="230" spans="1:3">
      <c r="A230" s="17" t="s">
        <v>587</v>
      </c>
      <c r="B230" s="77" t="s">
        <v>381</v>
      </c>
      <c r="C230" s="77">
        <v>25220</v>
      </c>
    </row>
    <row r="231" spans="1:3">
      <c r="A231" s="17" t="s">
        <v>588</v>
      </c>
      <c r="B231" s="77" t="s">
        <v>391</v>
      </c>
      <c r="C231" s="77">
        <v>10440</v>
      </c>
    </row>
    <row r="232" spans="1:3">
      <c r="A232" s="17" t="s">
        <v>589</v>
      </c>
      <c r="B232" s="77" t="s">
        <v>388</v>
      </c>
      <c r="C232" s="77">
        <v>16016</v>
      </c>
    </row>
    <row r="233" spans="1:3">
      <c r="A233" s="17" t="s">
        <v>590</v>
      </c>
      <c r="B233" s="77" t="s">
        <v>375</v>
      </c>
      <c r="C233" s="77">
        <v>16872</v>
      </c>
    </row>
    <row r="234" spans="1:3">
      <c r="A234" s="17" t="s">
        <v>591</v>
      </c>
      <c r="B234" s="77" t="s">
        <v>380</v>
      </c>
      <c r="C234" s="77">
        <v>14640</v>
      </c>
    </row>
    <row r="235" spans="1:3">
      <c r="A235" s="17" t="s">
        <v>762</v>
      </c>
      <c r="B235" s="77" t="s">
        <v>388</v>
      </c>
      <c r="C235" s="77">
        <v>10404</v>
      </c>
    </row>
    <row r="236" spans="1:3">
      <c r="A236" s="17" t="s">
        <v>592</v>
      </c>
      <c r="B236" s="77" t="s">
        <v>375</v>
      </c>
      <c r="C236" s="77">
        <v>22264</v>
      </c>
    </row>
    <row r="237" spans="1:3">
      <c r="A237" s="17" t="s">
        <v>593</v>
      </c>
      <c r="B237" s="77" t="s">
        <v>383</v>
      </c>
      <c r="C237" s="77">
        <v>23760</v>
      </c>
    </row>
    <row r="238" spans="1:3">
      <c r="A238" s="17" t="s">
        <v>594</v>
      </c>
      <c r="B238" s="77" t="s">
        <v>376</v>
      </c>
      <c r="C238" s="77">
        <v>21054</v>
      </c>
    </row>
    <row r="239" spans="1:3">
      <c r="A239" s="17" t="s">
        <v>595</v>
      </c>
      <c r="B239" s="77" t="s">
        <v>380</v>
      </c>
      <c r="C239" s="77">
        <v>2522</v>
      </c>
    </row>
    <row r="240" spans="1:3">
      <c r="A240" s="17" t="s">
        <v>596</v>
      </c>
      <c r="B240" s="77" t="s">
        <v>387</v>
      </c>
      <c r="C240" s="77">
        <v>11462</v>
      </c>
    </row>
    <row r="241" spans="1:3">
      <c r="A241" s="17" t="s">
        <v>597</v>
      </c>
      <c r="B241" s="77" t="s">
        <v>376</v>
      </c>
      <c r="C241" s="77">
        <v>6045</v>
      </c>
    </row>
    <row r="242" spans="1:3">
      <c r="A242" s="17" t="s">
        <v>598</v>
      </c>
      <c r="B242" s="77" t="s">
        <v>388</v>
      </c>
      <c r="C242" s="77">
        <v>14036</v>
      </c>
    </row>
    <row r="243" spans="1:3">
      <c r="A243" s="17" t="s">
        <v>599</v>
      </c>
      <c r="B243" s="77" t="s">
        <v>387</v>
      </c>
      <c r="C243" s="77">
        <v>18816</v>
      </c>
    </row>
    <row r="244" spans="1:3">
      <c r="A244" s="17" t="s">
        <v>600</v>
      </c>
      <c r="B244" s="77" t="s">
        <v>382</v>
      </c>
      <c r="C244" s="77">
        <v>13200</v>
      </c>
    </row>
    <row r="245" spans="1:3">
      <c r="A245" s="17" t="s">
        <v>763</v>
      </c>
      <c r="B245" s="77" t="s">
        <v>375</v>
      </c>
      <c r="C245" s="77">
        <v>17974</v>
      </c>
    </row>
    <row r="246" spans="1:3">
      <c r="A246" s="17" t="s">
        <v>601</v>
      </c>
      <c r="B246" s="77" t="s">
        <v>379</v>
      </c>
      <c r="C246" s="77">
        <v>3683</v>
      </c>
    </row>
    <row r="247" spans="1:3">
      <c r="A247" s="17" t="s">
        <v>602</v>
      </c>
      <c r="B247" s="77" t="s">
        <v>389</v>
      </c>
      <c r="C247" s="77">
        <v>13957</v>
      </c>
    </row>
    <row r="248" spans="1:3">
      <c r="A248" s="17" t="s">
        <v>603</v>
      </c>
      <c r="B248" s="77" t="s">
        <v>377</v>
      </c>
      <c r="C248" s="77">
        <v>11488</v>
      </c>
    </row>
    <row r="249" spans="1:3">
      <c r="A249" s="17" t="s">
        <v>604</v>
      </c>
      <c r="B249" s="77" t="s">
        <v>383</v>
      </c>
      <c r="C249" s="77">
        <v>16737</v>
      </c>
    </row>
    <row r="250" spans="1:3">
      <c r="A250" s="17" t="s">
        <v>605</v>
      </c>
      <c r="B250" s="77" t="s">
        <v>388</v>
      </c>
      <c r="C250" s="77">
        <v>4816</v>
      </c>
    </row>
    <row r="251" spans="1:3">
      <c r="A251" s="17" t="s">
        <v>606</v>
      </c>
      <c r="B251" s="77" t="s">
        <v>384</v>
      </c>
      <c r="C251" s="77">
        <v>17160</v>
      </c>
    </row>
    <row r="252" spans="1:3">
      <c r="A252" s="17" t="s">
        <v>607</v>
      </c>
      <c r="B252" s="77" t="s">
        <v>381</v>
      </c>
      <c r="C252" s="77">
        <v>2322</v>
      </c>
    </row>
    <row r="253" spans="1:3">
      <c r="A253" s="17" t="s">
        <v>608</v>
      </c>
      <c r="B253" s="77" t="s">
        <v>380</v>
      </c>
      <c r="C253" s="77">
        <v>16380</v>
      </c>
    </row>
    <row r="254" spans="1:3">
      <c r="A254" s="17" t="s">
        <v>609</v>
      </c>
      <c r="B254" s="77" t="s">
        <v>385</v>
      </c>
      <c r="C254" s="77">
        <v>5280</v>
      </c>
    </row>
    <row r="255" spans="1:3">
      <c r="A255" s="17" t="s">
        <v>764</v>
      </c>
      <c r="B255" s="77" t="s">
        <v>382</v>
      </c>
      <c r="C255" s="77">
        <v>23000</v>
      </c>
    </row>
    <row r="256" spans="1:3">
      <c r="A256" s="17" t="s">
        <v>610</v>
      </c>
      <c r="B256" s="77" t="s">
        <v>379</v>
      </c>
      <c r="C256" s="77">
        <v>5440</v>
      </c>
    </row>
    <row r="257" spans="1:3">
      <c r="A257" s="17" t="s">
        <v>611</v>
      </c>
      <c r="B257" s="77" t="s">
        <v>392</v>
      </c>
      <c r="C257" s="77">
        <v>25317</v>
      </c>
    </row>
    <row r="258" spans="1:3">
      <c r="A258" s="17" t="s">
        <v>612</v>
      </c>
      <c r="B258" s="77" t="s">
        <v>383</v>
      </c>
      <c r="C258" s="77">
        <v>22287</v>
      </c>
    </row>
    <row r="259" spans="1:3">
      <c r="A259" s="17" t="s">
        <v>613</v>
      </c>
      <c r="B259" s="77" t="s">
        <v>385</v>
      </c>
      <c r="C259" s="77">
        <v>23625</v>
      </c>
    </row>
    <row r="260" spans="1:3">
      <c r="A260" s="17" t="s">
        <v>614</v>
      </c>
      <c r="B260" s="77" t="s">
        <v>380</v>
      </c>
      <c r="C260" s="77">
        <v>8040</v>
      </c>
    </row>
    <row r="261" spans="1:3">
      <c r="A261" s="17" t="s">
        <v>615</v>
      </c>
      <c r="B261" s="77" t="s">
        <v>380</v>
      </c>
      <c r="C261" s="77">
        <v>550</v>
      </c>
    </row>
    <row r="262" spans="1:3">
      <c r="A262" s="17" t="s">
        <v>616</v>
      </c>
      <c r="B262" s="77" t="s">
        <v>384</v>
      </c>
      <c r="C262" s="77">
        <v>15912</v>
      </c>
    </row>
    <row r="263" spans="1:3">
      <c r="A263" s="17" t="s">
        <v>617</v>
      </c>
      <c r="B263" s="77" t="s">
        <v>387</v>
      </c>
      <c r="C263" s="77">
        <v>2465</v>
      </c>
    </row>
    <row r="264" spans="1:3">
      <c r="A264" s="17" t="s">
        <v>618</v>
      </c>
      <c r="B264" s="77" t="s">
        <v>380</v>
      </c>
      <c r="C264" s="77">
        <v>2783</v>
      </c>
    </row>
    <row r="265" spans="1:3">
      <c r="A265" s="17" t="s">
        <v>765</v>
      </c>
      <c r="B265" s="77" t="s">
        <v>382</v>
      </c>
      <c r="C265" s="77">
        <v>10140</v>
      </c>
    </row>
    <row r="266" spans="1:3">
      <c r="A266" s="17" t="s">
        <v>619</v>
      </c>
      <c r="B266" s="77" t="s">
        <v>392</v>
      </c>
      <c r="C266" s="77">
        <v>10296</v>
      </c>
    </row>
    <row r="267" spans="1:3">
      <c r="A267" s="17" t="s">
        <v>620</v>
      </c>
      <c r="B267" s="77" t="s">
        <v>392</v>
      </c>
      <c r="C267" s="77">
        <v>13608</v>
      </c>
    </row>
    <row r="268" spans="1:3">
      <c r="A268" s="17" t="s">
        <v>621</v>
      </c>
      <c r="B268" s="77" t="s">
        <v>381</v>
      </c>
      <c r="C268" s="77">
        <v>16200</v>
      </c>
    </row>
    <row r="269" spans="1:3">
      <c r="A269" s="17" t="s">
        <v>622</v>
      </c>
      <c r="B269" s="77" t="s">
        <v>390</v>
      </c>
      <c r="C269" s="77">
        <v>3705</v>
      </c>
    </row>
    <row r="270" spans="1:3">
      <c r="A270" s="17" t="s">
        <v>623</v>
      </c>
      <c r="B270" s="77" t="s">
        <v>388</v>
      </c>
      <c r="C270" s="77">
        <v>16238</v>
      </c>
    </row>
    <row r="271" spans="1:3">
      <c r="A271" s="17" t="s">
        <v>624</v>
      </c>
      <c r="B271" s="77" t="s">
        <v>384</v>
      </c>
      <c r="C271" s="77">
        <v>13188</v>
      </c>
    </row>
    <row r="272" spans="1:3">
      <c r="A272" s="17" t="s">
        <v>625</v>
      </c>
      <c r="B272" s="77" t="s">
        <v>382</v>
      </c>
      <c r="C272" s="77">
        <v>3020</v>
      </c>
    </row>
    <row r="273" spans="1:3">
      <c r="A273" s="17" t="s">
        <v>626</v>
      </c>
      <c r="B273" s="77" t="s">
        <v>381</v>
      </c>
      <c r="C273" s="77">
        <v>2106</v>
      </c>
    </row>
    <row r="274" spans="1:3">
      <c r="A274" s="17" t="s">
        <v>627</v>
      </c>
      <c r="B274" s="77" t="s">
        <v>382</v>
      </c>
      <c r="C274" s="77">
        <v>10816</v>
      </c>
    </row>
    <row r="275" spans="1:3">
      <c r="A275" s="17" t="s">
        <v>766</v>
      </c>
      <c r="B275" s="77" t="s">
        <v>382</v>
      </c>
      <c r="C275" s="77">
        <v>13284</v>
      </c>
    </row>
    <row r="276" spans="1:3">
      <c r="A276" s="17" t="s">
        <v>628</v>
      </c>
      <c r="B276" s="77" t="s">
        <v>388</v>
      </c>
      <c r="C276" s="77">
        <v>6150</v>
      </c>
    </row>
    <row r="277" spans="1:3">
      <c r="A277" s="17" t="s">
        <v>629</v>
      </c>
      <c r="B277" s="77" t="s">
        <v>381</v>
      </c>
      <c r="C277" s="77">
        <v>12112</v>
      </c>
    </row>
    <row r="278" spans="1:3">
      <c r="A278" s="17" t="s">
        <v>630</v>
      </c>
      <c r="B278" s="77" t="s">
        <v>381</v>
      </c>
      <c r="C278" s="77">
        <v>4966</v>
      </c>
    </row>
    <row r="279" spans="1:3">
      <c r="A279" s="17" t="s">
        <v>631</v>
      </c>
      <c r="B279" s="77" t="s">
        <v>379</v>
      </c>
      <c r="C279" s="77">
        <v>24600</v>
      </c>
    </row>
    <row r="280" spans="1:3">
      <c r="A280" s="17" t="s">
        <v>632</v>
      </c>
      <c r="B280" s="77" t="s">
        <v>375</v>
      </c>
      <c r="C280" s="77">
        <v>24500</v>
      </c>
    </row>
    <row r="281" spans="1:3">
      <c r="A281" s="17" t="s">
        <v>633</v>
      </c>
      <c r="B281" s="77" t="s">
        <v>390</v>
      </c>
      <c r="C281" s="77">
        <v>9344</v>
      </c>
    </row>
    <row r="282" spans="1:3">
      <c r="A282" s="17" t="s">
        <v>634</v>
      </c>
      <c r="B282" s="77" t="s">
        <v>378</v>
      </c>
      <c r="C282" s="77">
        <v>19100</v>
      </c>
    </row>
    <row r="283" spans="1:3">
      <c r="A283" s="17" t="s">
        <v>635</v>
      </c>
      <c r="B283" s="77" t="s">
        <v>384</v>
      </c>
      <c r="C283" s="77">
        <v>12192</v>
      </c>
    </row>
    <row r="284" spans="1:3">
      <c r="A284" s="17" t="s">
        <v>636</v>
      </c>
      <c r="B284" s="77" t="s">
        <v>381</v>
      </c>
      <c r="C284" s="77">
        <v>3741</v>
      </c>
    </row>
    <row r="285" spans="1:3">
      <c r="A285" s="17" t="s">
        <v>767</v>
      </c>
      <c r="B285" s="77" t="s">
        <v>384</v>
      </c>
      <c r="C285" s="77">
        <v>6900</v>
      </c>
    </row>
    <row r="286" spans="1:3">
      <c r="A286" s="17" t="s">
        <v>637</v>
      </c>
      <c r="B286" s="77" t="s">
        <v>385</v>
      </c>
      <c r="C286" s="77">
        <v>8961</v>
      </c>
    </row>
    <row r="287" spans="1:3">
      <c r="A287" s="17" t="s">
        <v>638</v>
      </c>
      <c r="B287" s="77" t="s">
        <v>377</v>
      </c>
      <c r="C287" s="77">
        <v>16000</v>
      </c>
    </row>
    <row r="288" spans="1:3">
      <c r="A288" s="17" t="s">
        <v>639</v>
      </c>
      <c r="B288" s="77" t="s">
        <v>389</v>
      </c>
      <c r="C288" s="77">
        <v>17250</v>
      </c>
    </row>
    <row r="289" spans="1:3">
      <c r="A289" s="17" t="s">
        <v>640</v>
      </c>
      <c r="B289" s="77" t="s">
        <v>386</v>
      </c>
      <c r="C289" s="77">
        <v>10556</v>
      </c>
    </row>
    <row r="290" spans="1:3">
      <c r="A290" s="17" t="s">
        <v>641</v>
      </c>
      <c r="B290" s="77" t="s">
        <v>386</v>
      </c>
      <c r="C290" s="77">
        <v>10788</v>
      </c>
    </row>
    <row r="291" spans="1:3">
      <c r="A291" s="17" t="s">
        <v>642</v>
      </c>
      <c r="B291" s="77" t="s">
        <v>378</v>
      </c>
      <c r="C291" s="77">
        <v>15740</v>
      </c>
    </row>
    <row r="292" spans="1:3">
      <c r="A292" s="17" t="s">
        <v>643</v>
      </c>
      <c r="B292" s="77" t="s">
        <v>378</v>
      </c>
      <c r="C292" s="77">
        <v>21605</v>
      </c>
    </row>
    <row r="293" spans="1:3">
      <c r="A293" s="17" t="s">
        <v>644</v>
      </c>
      <c r="B293" s="77" t="s">
        <v>384</v>
      </c>
      <c r="C293" s="77">
        <v>25844</v>
      </c>
    </row>
    <row r="294" spans="1:3">
      <c r="A294" s="17" t="s">
        <v>645</v>
      </c>
      <c r="B294" s="77" t="s">
        <v>380</v>
      </c>
      <c r="C294" s="77">
        <v>729</v>
      </c>
    </row>
    <row r="295" spans="1:3">
      <c r="A295" s="17" t="s">
        <v>768</v>
      </c>
      <c r="B295" s="77" t="s">
        <v>379</v>
      </c>
      <c r="C295" s="77">
        <v>7470</v>
      </c>
    </row>
    <row r="296" spans="1:3">
      <c r="A296" s="17" t="s">
        <v>646</v>
      </c>
      <c r="B296" s="77" t="s">
        <v>387</v>
      </c>
      <c r="C296" s="77">
        <v>4560</v>
      </c>
    </row>
    <row r="297" spans="1:3">
      <c r="A297" s="17" t="s">
        <v>647</v>
      </c>
      <c r="B297" s="77" t="s">
        <v>388</v>
      </c>
      <c r="C297" s="77">
        <v>2323</v>
      </c>
    </row>
    <row r="298" spans="1:3">
      <c r="A298" s="17" t="s">
        <v>648</v>
      </c>
      <c r="B298" s="77" t="s">
        <v>386</v>
      </c>
      <c r="C298" s="77">
        <v>14674</v>
      </c>
    </row>
    <row r="299" spans="1:3">
      <c r="A299" s="17" t="s">
        <v>649</v>
      </c>
      <c r="B299" s="77" t="s">
        <v>384</v>
      </c>
      <c r="C299" s="77">
        <v>14730</v>
      </c>
    </row>
    <row r="300" spans="1:3">
      <c r="A300" s="17" t="s">
        <v>650</v>
      </c>
      <c r="B300" s="77" t="s">
        <v>385</v>
      </c>
      <c r="C300" s="77">
        <v>5728</v>
      </c>
    </row>
    <row r="301" spans="1:3">
      <c r="A301" s="17" t="s">
        <v>651</v>
      </c>
      <c r="B301" s="77" t="s">
        <v>382</v>
      </c>
      <c r="C301" s="77">
        <v>1848</v>
      </c>
    </row>
    <row r="302" spans="1:3">
      <c r="A302" s="17" t="s">
        <v>652</v>
      </c>
      <c r="B302" s="77" t="s">
        <v>387</v>
      </c>
      <c r="C302" s="77">
        <v>3938</v>
      </c>
    </row>
    <row r="303" spans="1:3">
      <c r="A303" s="17" t="s">
        <v>653</v>
      </c>
      <c r="B303" s="77" t="s">
        <v>387</v>
      </c>
      <c r="C303" s="77">
        <v>16399</v>
      </c>
    </row>
    <row r="304" spans="1:3">
      <c r="A304" s="17" t="s">
        <v>654</v>
      </c>
      <c r="B304" s="77" t="s">
        <v>387</v>
      </c>
      <c r="C304" s="77">
        <v>6630</v>
      </c>
    </row>
    <row r="305" spans="1:3">
      <c r="A305" s="17" t="s">
        <v>769</v>
      </c>
      <c r="B305" s="77" t="s">
        <v>392</v>
      </c>
      <c r="C305" s="77">
        <v>11560</v>
      </c>
    </row>
  </sheetData>
  <phoneticPr fontId="5" type="noConversion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47C94-BE0F-424A-9C1E-AC0F71C71DD0}">
  <sheetPr>
    <tabColor theme="8" tint="0.79998168889431442"/>
  </sheetPr>
  <dimension ref="A1:F304"/>
  <sheetViews>
    <sheetView showGridLines="0" zoomScaleNormal="100" workbookViewId="0"/>
  </sheetViews>
  <sheetFormatPr baseColWidth="10" defaultColWidth="11.44140625" defaultRowHeight="14.4"/>
  <cols>
    <col min="1" max="3" width="17.77734375" style="21" customWidth="1"/>
    <col min="4" max="4" width="5.77734375" style="21" customWidth="1"/>
    <col min="5" max="6" width="17.77734375" style="21" customWidth="1"/>
    <col min="7" max="16384" width="11.44140625" style="21"/>
  </cols>
  <sheetData>
    <row r="1" spans="1:6">
      <c r="A1" s="33" t="s">
        <v>132</v>
      </c>
      <c r="B1" s="74"/>
      <c r="C1" s="74"/>
      <c r="D1" s="74"/>
      <c r="E1" s="74"/>
      <c r="F1" s="74"/>
    </row>
    <row r="2" spans="1:6">
      <c r="A2" s="35" t="s">
        <v>1120</v>
      </c>
      <c r="B2" s="73"/>
      <c r="C2" s="73"/>
      <c r="D2" s="73"/>
      <c r="E2" s="73"/>
      <c r="F2" s="73"/>
    </row>
    <row r="4" spans="1:6">
      <c r="A4" s="54" t="s">
        <v>402</v>
      </c>
      <c r="B4" s="54" t="s">
        <v>399</v>
      </c>
      <c r="C4" s="55" t="s">
        <v>374</v>
      </c>
      <c r="E4" s="75" t="s">
        <v>399</v>
      </c>
      <c r="F4" s="75" t="s">
        <v>400</v>
      </c>
    </row>
    <row r="5" spans="1:6">
      <c r="A5" s="17" t="s">
        <v>403</v>
      </c>
      <c r="B5" s="77" t="s">
        <v>375</v>
      </c>
      <c r="C5" s="77">
        <v>15387</v>
      </c>
      <c r="E5" s="18" t="s">
        <v>380</v>
      </c>
      <c r="F5" s="18" t="s">
        <v>396</v>
      </c>
    </row>
    <row r="6" spans="1:6">
      <c r="A6" s="17" t="s">
        <v>404</v>
      </c>
      <c r="B6" s="77" t="s">
        <v>391</v>
      </c>
      <c r="C6" s="77">
        <v>7199</v>
      </c>
      <c r="E6" s="18" t="s">
        <v>385</v>
      </c>
      <c r="F6" s="18" t="s">
        <v>396</v>
      </c>
    </row>
    <row r="7" spans="1:6">
      <c r="A7" s="17" t="s">
        <v>405</v>
      </c>
      <c r="B7" s="77" t="s">
        <v>386</v>
      </c>
      <c r="C7" s="77">
        <v>7722</v>
      </c>
      <c r="E7" s="18" t="s">
        <v>386</v>
      </c>
      <c r="F7" s="18" t="s">
        <v>396</v>
      </c>
    </row>
    <row r="8" spans="1:6">
      <c r="A8" s="17" t="s">
        <v>406</v>
      </c>
      <c r="B8" s="77" t="s">
        <v>378</v>
      </c>
      <c r="C8" s="77">
        <v>15385</v>
      </c>
      <c r="E8" s="18" t="s">
        <v>379</v>
      </c>
      <c r="F8" s="18" t="s">
        <v>395</v>
      </c>
    </row>
    <row r="9" spans="1:6">
      <c r="A9" s="17" t="s">
        <v>407</v>
      </c>
      <c r="B9" s="77" t="s">
        <v>389</v>
      </c>
      <c r="C9" s="77">
        <v>7956</v>
      </c>
      <c r="E9" s="18" t="s">
        <v>389</v>
      </c>
      <c r="F9" s="18" t="s">
        <v>395</v>
      </c>
    </row>
    <row r="10" spans="1:6">
      <c r="A10" s="17" t="s">
        <v>408</v>
      </c>
      <c r="B10" s="77" t="s">
        <v>392</v>
      </c>
      <c r="C10" s="77">
        <v>13088</v>
      </c>
      <c r="E10" s="18" t="s">
        <v>390</v>
      </c>
      <c r="F10" s="18" t="s">
        <v>395</v>
      </c>
    </row>
    <row r="11" spans="1:6">
      <c r="A11" s="17" t="s">
        <v>409</v>
      </c>
      <c r="B11" s="77" t="s">
        <v>388</v>
      </c>
      <c r="C11" s="77">
        <v>16308</v>
      </c>
      <c r="E11" s="18" t="s">
        <v>378</v>
      </c>
      <c r="F11" s="18" t="s">
        <v>394</v>
      </c>
    </row>
    <row r="12" spans="1:6">
      <c r="A12" s="17" t="s">
        <v>410</v>
      </c>
      <c r="B12" s="77" t="s">
        <v>384</v>
      </c>
      <c r="C12" s="77">
        <v>20306</v>
      </c>
      <c r="E12" s="18" t="s">
        <v>382</v>
      </c>
      <c r="F12" s="18" t="s">
        <v>394</v>
      </c>
    </row>
    <row r="13" spans="1:6">
      <c r="A13" s="17" t="s">
        <v>411</v>
      </c>
      <c r="B13" s="77" t="s">
        <v>378</v>
      </c>
      <c r="C13" s="77">
        <v>21024</v>
      </c>
      <c r="E13" s="18" t="s">
        <v>387</v>
      </c>
      <c r="F13" s="18" t="s">
        <v>394</v>
      </c>
    </row>
    <row r="14" spans="1:6">
      <c r="A14" s="17" t="s">
        <v>722</v>
      </c>
      <c r="B14" s="77" t="s">
        <v>380</v>
      </c>
      <c r="C14" s="77">
        <v>7128</v>
      </c>
      <c r="E14" s="18" t="s">
        <v>391</v>
      </c>
      <c r="F14" s="18" t="s">
        <v>398</v>
      </c>
    </row>
    <row r="15" spans="1:6">
      <c r="A15" s="17" t="s">
        <v>412</v>
      </c>
      <c r="B15" s="77" t="s">
        <v>382</v>
      </c>
      <c r="C15" s="77">
        <v>7163</v>
      </c>
      <c r="E15" s="18" t="s">
        <v>388</v>
      </c>
      <c r="F15" s="18" t="s">
        <v>398</v>
      </c>
    </row>
    <row r="16" spans="1:6">
      <c r="A16" s="17" t="s">
        <v>413</v>
      </c>
      <c r="B16" s="77" t="s">
        <v>383</v>
      </c>
      <c r="C16" s="77">
        <v>11016</v>
      </c>
      <c r="E16" s="18" t="s">
        <v>392</v>
      </c>
      <c r="F16" s="18" t="s">
        <v>398</v>
      </c>
    </row>
    <row r="17" spans="1:6">
      <c r="A17" s="17" t="s">
        <v>414</v>
      </c>
      <c r="B17" s="77" t="s">
        <v>385</v>
      </c>
      <c r="C17" s="77">
        <v>18538</v>
      </c>
      <c r="E17" s="18" t="s">
        <v>375</v>
      </c>
      <c r="F17" s="18" t="s">
        <v>393</v>
      </c>
    </row>
    <row r="18" spans="1:6">
      <c r="A18" s="17" t="s">
        <v>415</v>
      </c>
      <c r="B18" s="77" t="s">
        <v>392</v>
      </c>
      <c r="C18" s="77">
        <v>22707</v>
      </c>
      <c r="E18" s="18" t="s">
        <v>377</v>
      </c>
      <c r="F18" s="18" t="s">
        <v>393</v>
      </c>
    </row>
    <row r="19" spans="1:6">
      <c r="A19" s="17" t="s">
        <v>416</v>
      </c>
      <c r="B19" s="77" t="s">
        <v>382</v>
      </c>
      <c r="C19" s="77">
        <v>2523</v>
      </c>
      <c r="E19" s="18" t="s">
        <v>376</v>
      </c>
      <c r="F19" s="18" t="s">
        <v>393</v>
      </c>
    </row>
    <row r="20" spans="1:6">
      <c r="A20" s="17" t="s">
        <v>417</v>
      </c>
      <c r="B20" s="77" t="s">
        <v>378</v>
      </c>
      <c r="C20" s="77">
        <v>2500</v>
      </c>
      <c r="E20" s="18" t="s">
        <v>381</v>
      </c>
      <c r="F20" s="18" t="s">
        <v>397</v>
      </c>
    </row>
    <row r="21" spans="1:6">
      <c r="A21" s="17" t="s">
        <v>418</v>
      </c>
      <c r="B21" s="77" t="s">
        <v>389</v>
      </c>
      <c r="C21" s="77">
        <v>16978</v>
      </c>
      <c r="E21" s="18" t="s">
        <v>383</v>
      </c>
      <c r="F21" s="18" t="s">
        <v>397</v>
      </c>
    </row>
    <row r="22" spans="1:6">
      <c r="A22" s="17" t="s">
        <v>419</v>
      </c>
      <c r="B22" s="77" t="s">
        <v>386</v>
      </c>
      <c r="C22" s="77">
        <v>15192</v>
      </c>
      <c r="E22" s="18" t="s">
        <v>384</v>
      </c>
      <c r="F22" s="18" t="s">
        <v>397</v>
      </c>
    </row>
    <row r="23" spans="1:6">
      <c r="A23" s="17" t="s">
        <v>420</v>
      </c>
      <c r="B23" s="77" t="s">
        <v>387</v>
      </c>
      <c r="C23" s="77">
        <v>18080</v>
      </c>
    </row>
    <row r="24" spans="1:6">
      <c r="A24" s="17" t="s">
        <v>723</v>
      </c>
      <c r="B24" s="77" t="s">
        <v>387</v>
      </c>
      <c r="C24" s="77">
        <v>12660</v>
      </c>
    </row>
    <row r="25" spans="1:6">
      <c r="A25" s="17" t="s">
        <v>421</v>
      </c>
      <c r="B25" s="77" t="s">
        <v>378</v>
      </c>
      <c r="C25" s="77">
        <v>7296</v>
      </c>
    </row>
    <row r="26" spans="1:6">
      <c r="A26" s="17" t="s">
        <v>422</v>
      </c>
      <c r="B26" s="77" t="s">
        <v>377</v>
      </c>
      <c r="C26" s="77">
        <v>1190</v>
      </c>
    </row>
    <row r="27" spans="1:6">
      <c r="A27" s="17" t="s">
        <v>423</v>
      </c>
      <c r="B27" s="77" t="s">
        <v>390</v>
      </c>
      <c r="C27" s="77">
        <v>13050</v>
      </c>
    </row>
    <row r="28" spans="1:6">
      <c r="A28" s="17" t="s">
        <v>424</v>
      </c>
      <c r="B28" s="77" t="s">
        <v>389</v>
      </c>
      <c r="C28" s="77">
        <v>19118</v>
      </c>
    </row>
    <row r="29" spans="1:6">
      <c r="A29" s="17" t="s">
        <v>425</v>
      </c>
      <c r="B29" s="77" t="s">
        <v>377</v>
      </c>
      <c r="C29" s="77">
        <v>16464</v>
      </c>
    </row>
    <row r="30" spans="1:6">
      <c r="A30" s="17" t="s">
        <v>426</v>
      </c>
      <c r="B30" s="77" t="s">
        <v>382</v>
      </c>
      <c r="C30" s="77">
        <v>10608</v>
      </c>
    </row>
    <row r="31" spans="1:6">
      <c r="A31" s="17" t="s">
        <v>427</v>
      </c>
      <c r="B31" s="77" t="s">
        <v>378</v>
      </c>
      <c r="C31" s="77">
        <v>2828</v>
      </c>
    </row>
    <row r="32" spans="1:6">
      <c r="A32" s="17" t="s">
        <v>428</v>
      </c>
      <c r="B32" s="77" t="s">
        <v>375</v>
      </c>
      <c r="C32" s="77">
        <v>16215</v>
      </c>
    </row>
    <row r="33" spans="1:3">
      <c r="A33" s="17" t="s">
        <v>429</v>
      </c>
      <c r="B33" s="77" t="s">
        <v>380</v>
      </c>
      <c r="C33" s="77">
        <v>12663</v>
      </c>
    </row>
    <row r="34" spans="1:3">
      <c r="A34" s="17" t="s">
        <v>724</v>
      </c>
      <c r="B34" s="77" t="s">
        <v>378</v>
      </c>
      <c r="C34" s="77">
        <v>2730</v>
      </c>
    </row>
    <row r="35" spans="1:3">
      <c r="A35" s="17" t="s">
        <v>430</v>
      </c>
      <c r="B35" s="77" t="s">
        <v>375</v>
      </c>
      <c r="C35" s="77">
        <v>19430</v>
      </c>
    </row>
    <row r="36" spans="1:3">
      <c r="A36" s="17" t="s">
        <v>431</v>
      </c>
      <c r="B36" s="77" t="s">
        <v>386</v>
      </c>
      <c r="C36" s="77">
        <v>17603</v>
      </c>
    </row>
    <row r="37" spans="1:3">
      <c r="A37" s="17" t="s">
        <v>432</v>
      </c>
      <c r="B37" s="77" t="s">
        <v>383</v>
      </c>
      <c r="C37" s="77">
        <v>17342</v>
      </c>
    </row>
    <row r="38" spans="1:3">
      <c r="A38" s="17" t="s">
        <v>433</v>
      </c>
      <c r="B38" s="77" t="s">
        <v>383</v>
      </c>
      <c r="C38" s="77">
        <v>6188</v>
      </c>
    </row>
    <row r="39" spans="1:3">
      <c r="A39" s="17" t="s">
        <v>434</v>
      </c>
      <c r="B39" s="77" t="s">
        <v>390</v>
      </c>
      <c r="C39" s="77">
        <v>4439</v>
      </c>
    </row>
    <row r="40" spans="1:3">
      <c r="A40" s="17" t="s">
        <v>435</v>
      </c>
      <c r="B40" s="77" t="s">
        <v>380</v>
      </c>
      <c r="C40" s="77">
        <v>3120</v>
      </c>
    </row>
    <row r="41" spans="1:3">
      <c r="A41" s="17" t="s">
        <v>436</v>
      </c>
      <c r="B41" s="77" t="s">
        <v>389</v>
      </c>
      <c r="C41" s="77">
        <v>11180</v>
      </c>
    </row>
    <row r="42" spans="1:3">
      <c r="A42" s="17" t="s">
        <v>437</v>
      </c>
      <c r="B42" s="77" t="s">
        <v>377</v>
      </c>
      <c r="C42" s="77">
        <v>7920</v>
      </c>
    </row>
    <row r="43" spans="1:3">
      <c r="A43" s="17" t="s">
        <v>438</v>
      </c>
      <c r="B43" s="77" t="s">
        <v>381</v>
      </c>
      <c r="C43" s="77">
        <v>14076</v>
      </c>
    </row>
    <row r="44" spans="1:3">
      <c r="A44" s="17" t="s">
        <v>725</v>
      </c>
      <c r="B44" s="77" t="s">
        <v>381</v>
      </c>
      <c r="C44" s="77">
        <v>18316</v>
      </c>
    </row>
    <row r="45" spans="1:3">
      <c r="A45" s="17" t="s">
        <v>439</v>
      </c>
      <c r="B45" s="77" t="s">
        <v>391</v>
      </c>
      <c r="C45" s="77">
        <v>13286</v>
      </c>
    </row>
    <row r="46" spans="1:3">
      <c r="A46" s="17" t="s">
        <v>440</v>
      </c>
      <c r="B46" s="77" t="s">
        <v>379</v>
      </c>
      <c r="C46" s="77">
        <v>10506</v>
      </c>
    </row>
    <row r="47" spans="1:3">
      <c r="A47" s="17" t="s">
        <v>441</v>
      </c>
      <c r="B47" s="77" t="s">
        <v>382</v>
      </c>
      <c r="C47" s="77">
        <v>22008</v>
      </c>
    </row>
    <row r="48" spans="1:3">
      <c r="A48" s="17" t="s">
        <v>442</v>
      </c>
      <c r="B48" s="77" t="s">
        <v>379</v>
      </c>
      <c r="C48" s="77">
        <v>23128</v>
      </c>
    </row>
    <row r="49" spans="1:3">
      <c r="A49" s="17" t="s">
        <v>443</v>
      </c>
      <c r="B49" s="77" t="s">
        <v>379</v>
      </c>
      <c r="C49" s="77">
        <v>24240</v>
      </c>
    </row>
    <row r="50" spans="1:3">
      <c r="A50" s="17" t="s">
        <v>444</v>
      </c>
      <c r="B50" s="77" t="s">
        <v>381</v>
      </c>
      <c r="C50" s="77">
        <v>2952</v>
      </c>
    </row>
    <row r="51" spans="1:3">
      <c r="A51" s="17" t="s">
        <v>445</v>
      </c>
      <c r="B51" s="77" t="s">
        <v>386</v>
      </c>
      <c r="C51" s="77">
        <v>1944</v>
      </c>
    </row>
    <row r="52" spans="1:3">
      <c r="A52" s="17" t="s">
        <v>446</v>
      </c>
      <c r="B52" s="77" t="s">
        <v>376</v>
      </c>
      <c r="C52" s="77">
        <v>3655</v>
      </c>
    </row>
    <row r="53" spans="1:3">
      <c r="A53" s="17" t="s">
        <v>447</v>
      </c>
      <c r="B53" s="77" t="s">
        <v>392</v>
      </c>
      <c r="C53" s="77">
        <v>14444</v>
      </c>
    </row>
    <row r="54" spans="1:3">
      <c r="A54" s="17" t="s">
        <v>726</v>
      </c>
      <c r="B54" s="77" t="s">
        <v>385</v>
      </c>
      <c r="C54" s="77">
        <v>20160</v>
      </c>
    </row>
    <row r="55" spans="1:3">
      <c r="A55" s="17" t="s">
        <v>448</v>
      </c>
      <c r="B55" s="77" t="s">
        <v>392</v>
      </c>
      <c r="C55" s="77">
        <v>14297</v>
      </c>
    </row>
    <row r="56" spans="1:3">
      <c r="A56" s="17" t="s">
        <v>449</v>
      </c>
      <c r="B56" s="77" t="s">
        <v>391</v>
      </c>
      <c r="C56" s="77">
        <v>15675</v>
      </c>
    </row>
    <row r="57" spans="1:3">
      <c r="A57" s="17" t="s">
        <v>450</v>
      </c>
      <c r="B57" s="77" t="s">
        <v>381</v>
      </c>
      <c r="C57" s="77">
        <v>1152</v>
      </c>
    </row>
    <row r="58" spans="1:3">
      <c r="A58" s="17" t="s">
        <v>451</v>
      </c>
      <c r="B58" s="77" t="s">
        <v>390</v>
      </c>
      <c r="C58" s="77">
        <v>17125</v>
      </c>
    </row>
    <row r="59" spans="1:3">
      <c r="A59" s="17" t="s">
        <v>452</v>
      </c>
      <c r="B59" s="77" t="s">
        <v>390</v>
      </c>
      <c r="C59" s="77">
        <v>3808</v>
      </c>
    </row>
    <row r="60" spans="1:3">
      <c r="A60" s="17" t="s">
        <v>453</v>
      </c>
      <c r="B60" s="77" t="s">
        <v>381</v>
      </c>
      <c r="C60" s="77">
        <v>5205</v>
      </c>
    </row>
    <row r="61" spans="1:3">
      <c r="A61" s="17" t="s">
        <v>454</v>
      </c>
      <c r="B61" s="77" t="s">
        <v>384</v>
      </c>
      <c r="C61" s="77">
        <v>11856</v>
      </c>
    </row>
    <row r="62" spans="1:3">
      <c r="A62" s="17" t="s">
        <v>455</v>
      </c>
      <c r="B62" s="77" t="s">
        <v>392</v>
      </c>
      <c r="C62" s="77">
        <v>7348</v>
      </c>
    </row>
    <row r="63" spans="1:3">
      <c r="A63" s="17" t="s">
        <v>456</v>
      </c>
      <c r="B63" s="77" t="s">
        <v>391</v>
      </c>
      <c r="C63" s="77">
        <v>624</v>
      </c>
    </row>
    <row r="64" spans="1:3">
      <c r="A64" s="17" t="s">
        <v>727</v>
      </c>
      <c r="B64" s="77" t="s">
        <v>379</v>
      </c>
      <c r="C64" s="77">
        <v>11638</v>
      </c>
    </row>
    <row r="65" spans="1:3">
      <c r="A65" s="17" t="s">
        <v>457</v>
      </c>
      <c r="B65" s="77" t="s">
        <v>392</v>
      </c>
      <c r="C65" s="77">
        <v>7098</v>
      </c>
    </row>
    <row r="66" spans="1:3">
      <c r="A66" s="17" t="s">
        <v>458</v>
      </c>
      <c r="B66" s="77" t="s">
        <v>390</v>
      </c>
      <c r="C66" s="77">
        <v>9672</v>
      </c>
    </row>
    <row r="67" spans="1:3">
      <c r="A67" s="17" t="s">
        <v>459</v>
      </c>
      <c r="B67" s="77" t="s">
        <v>390</v>
      </c>
      <c r="C67" s="77">
        <v>29040</v>
      </c>
    </row>
    <row r="68" spans="1:3">
      <c r="A68" s="17" t="s">
        <v>460</v>
      </c>
      <c r="B68" s="77" t="s">
        <v>381</v>
      </c>
      <c r="C68" s="77">
        <v>26992</v>
      </c>
    </row>
    <row r="69" spans="1:3">
      <c r="A69" s="17" t="s">
        <v>461</v>
      </c>
      <c r="B69" s="77" t="s">
        <v>392</v>
      </c>
      <c r="C69" s="77">
        <v>17535</v>
      </c>
    </row>
    <row r="70" spans="1:3">
      <c r="A70" s="17" t="s">
        <v>462</v>
      </c>
      <c r="B70" s="77" t="s">
        <v>383</v>
      </c>
      <c r="C70" s="77">
        <v>11500</v>
      </c>
    </row>
    <row r="71" spans="1:3">
      <c r="A71" s="17" t="s">
        <v>463</v>
      </c>
      <c r="B71" s="77" t="s">
        <v>389</v>
      </c>
      <c r="C71" s="77">
        <v>3996</v>
      </c>
    </row>
    <row r="72" spans="1:3">
      <c r="A72" s="17" t="s">
        <v>464</v>
      </c>
      <c r="B72" s="77" t="s">
        <v>381</v>
      </c>
      <c r="C72" s="77">
        <v>14130</v>
      </c>
    </row>
    <row r="73" spans="1:3">
      <c r="A73" s="17" t="s">
        <v>465</v>
      </c>
      <c r="B73" s="77" t="s">
        <v>376</v>
      </c>
      <c r="C73" s="77">
        <v>7336</v>
      </c>
    </row>
    <row r="74" spans="1:3">
      <c r="A74" s="17" t="s">
        <v>728</v>
      </c>
      <c r="B74" s="77" t="s">
        <v>385</v>
      </c>
      <c r="C74" s="77">
        <v>9135</v>
      </c>
    </row>
    <row r="75" spans="1:3">
      <c r="A75" s="17" t="s">
        <v>466</v>
      </c>
      <c r="B75" s="77" t="s">
        <v>384</v>
      </c>
      <c r="C75" s="77">
        <v>3016</v>
      </c>
    </row>
    <row r="76" spans="1:3">
      <c r="A76" s="17" t="s">
        <v>467</v>
      </c>
      <c r="B76" s="77" t="s">
        <v>387</v>
      </c>
      <c r="C76" s="77">
        <v>5572</v>
      </c>
    </row>
    <row r="77" spans="1:3">
      <c r="A77" s="17" t="s">
        <v>468</v>
      </c>
      <c r="B77" s="77" t="s">
        <v>377</v>
      </c>
      <c r="C77" s="77">
        <v>6579</v>
      </c>
    </row>
    <row r="78" spans="1:3">
      <c r="A78" s="17" t="s">
        <v>469</v>
      </c>
      <c r="B78" s="77" t="s">
        <v>384</v>
      </c>
      <c r="C78" s="77">
        <v>2740</v>
      </c>
    </row>
    <row r="79" spans="1:3">
      <c r="A79" s="17" t="s">
        <v>470</v>
      </c>
      <c r="B79" s="77" t="s">
        <v>387</v>
      </c>
      <c r="C79" s="77">
        <v>3630</v>
      </c>
    </row>
    <row r="80" spans="1:3">
      <c r="A80" s="17" t="s">
        <v>471</v>
      </c>
      <c r="B80" s="77" t="s">
        <v>375</v>
      </c>
      <c r="C80" s="77">
        <v>15498</v>
      </c>
    </row>
    <row r="81" spans="1:3">
      <c r="A81" s="17" t="s">
        <v>472</v>
      </c>
      <c r="B81" s="77" t="s">
        <v>382</v>
      </c>
      <c r="C81" s="77">
        <v>18193</v>
      </c>
    </row>
    <row r="82" spans="1:3">
      <c r="A82" s="17" t="s">
        <v>473</v>
      </c>
      <c r="B82" s="77" t="s">
        <v>385</v>
      </c>
      <c r="C82" s="77">
        <v>697</v>
      </c>
    </row>
    <row r="83" spans="1:3">
      <c r="A83" s="17" t="s">
        <v>474</v>
      </c>
      <c r="B83" s="77" t="s">
        <v>381</v>
      </c>
      <c r="C83" s="77">
        <v>14427</v>
      </c>
    </row>
    <row r="84" spans="1:3">
      <c r="A84" s="17" t="s">
        <v>729</v>
      </c>
      <c r="B84" s="77" t="s">
        <v>391</v>
      </c>
      <c r="C84" s="77">
        <v>24810</v>
      </c>
    </row>
    <row r="85" spans="1:3">
      <c r="A85" s="17" t="s">
        <v>475</v>
      </c>
      <c r="B85" s="77" t="s">
        <v>389</v>
      </c>
      <c r="C85" s="77">
        <v>13700</v>
      </c>
    </row>
    <row r="86" spans="1:3">
      <c r="A86" s="17" t="s">
        <v>476</v>
      </c>
      <c r="B86" s="77" t="s">
        <v>384</v>
      </c>
      <c r="C86" s="77">
        <v>3652</v>
      </c>
    </row>
    <row r="87" spans="1:3">
      <c r="A87" s="17" t="s">
        <v>477</v>
      </c>
      <c r="B87" s="77" t="s">
        <v>379</v>
      </c>
      <c r="C87" s="77">
        <v>20384</v>
      </c>
    </row>
    <row r="88" spans="1:3">
      <c r="A88" s="17" t="s">
        <v>478</v>
      </c>
      <c r="B88" s="77" t="s">
        <v>382</v>
      </c>
      <c r="C88" s="77">
        <v>1620</v>
      </c>
    </row>
    <row r="89" spans="1:3">
      <c r="A89" s="17" t="s">
        <v>479</v>
      </c>
      <c r="B89" s="77" t="s">
        <v>389</v>
      </c>
      <c r="C89" s="77">
        <v>17689</v>
      </c>
    </row>
    <row r="90" spans="1:3">
      <c r="A90" s="17" t="s">
        <v>480</v>
      </c>
      <c r="B90" s="77" t="s">
        <v>382</v>
      </c>
      <c r="C90" s="77">
        <v>2706</v>
      </c>
    </row>
    <row r="91" spans="1:3">
      <c r="A91" s="17" t="s">
        <v>481</v>
      </c>
      <c r="B91" s="77" t="s">
        <v>391</v>
      </c>
      <c r="C91" s="77">
        <v>22464</v>
      </c>
    </row>
    <row r="92" spans="1:3">
      <c r="A92" s="17" t="s">
        <v>482</v>
      </c>
      <c r="B92" s="77" t="s">
        <v>387</v>
      </c>
      <c r="C92" s="77">
        <v>4584</v>
      </c>
    </row>
    <row r="93" spans="1:3">
      <c r="A93" s="17" t="s">
        <v>483</v>
      </c>
      <c r="B93" s="77" t="s">
        <v>379</v>
      </c>
      <c r="C93" s="77">
        <v>3780</v>
      </c>
    </row>
    <row r="94" spans="1:3">
      <c r="A94" s="17" t="s">
        <v>730</v>
      </c>
      <c r="B94" s="77" t="s">
        <v>390</v>
      </c>
      <c r="C94" s="77">
        <v>14150</v>
      </c>
    </row>
    <row r="95" spans="1:3">
      <c r="A95" s="17" t="s">
        <v>484</v>
      </c>
      <c r="B95" s="77" t="s">
        <v>376</v>
      </c>
      <c r="C95" s="77">
        <v>17472</v>
      </c>
    </row>
    <row r="96" spans="1:3">
      <c r="A96" s="17" t="s">
        <v>485</v>
      </c>
      <c r="B96" s="77" t="s">
        <v>386</v>
      </c>
      <c r="C96" s="77">
        <v>2835</v>
      </c>
    </row>
    <row r="97" spans="1:3">
      <c r="A97" s="17" t="s">
        <v>486</v>
      </c>
      <c r="B97" s="77" t="s">
        <v>381</v>
      </c>
      <c r="C97" s="77">
        <v>9520</v>
      </c>
    </row>
    <row r="98" spans="1:3">
      <c r="A98" s="17" t="s">
        <v>487</v>
      </c>
      <c r="B98" s="77" t="s">
        <v>381</v>
      </c>
      <c r="C98" s="77">
        <v>14432</v>
      </c>
    </row>
    <row r="99" spans="1:3">
      <c r="A99" s="17" t="s">
        <v>488</v>
      </c>
      <c r="B99" s="77" t="s">
        <v>377</v>
      </c>
      <c r="C99" s="77">
        <v>8928</v>
      </c>
    </row>
    <row r="100" spans="1:3">
      <c r="A100" s="17" t="s">
        <v>489</v>
      </c>
      <c r="B100" s="77" t="s">
        <v>378</v>
      </c>
      <c r="C100" s="77">
        <v>3888</v>
      </c>
    </row>
    <row r="101" spans="1:3">
      <c r="A101" s="17" t="s">
        <v>490</v>
      </c>
      <c r="B101" s="77" t="s">
        <v>388</v>
      </c>
      <c r="C101" s="77">
        <v>20118</v>
      </c>
    </row>
    <row r="102" spans="1:3">
      <c r="A102" s="17" t="s">
        <v>491</v>
      </c>
      <c r="B102" s="77" t="s">
        <v>377</v>
      </c>
      <c r="C102" s="77">
        <v>14712</v>
      </c>
    </row>
    <row r="103" spans="1:3">
      <c r="A103" s="17" t="s">
        <v>492</v>
      </c>
      <c r="B103" s="77" t="s">
        <v>382</v>
      </c>
      <c r="C103" s="77">
        <v>16283</v>
      </c>
    </row>
    <row r="104" spans="1:3">
      <c r="A104" s="17" t="s">
        <v>731</v>
      </c>
      <c r="B104" s="77" t="s">
        <v>381</v>
      </c>
      <c r="C104" s="77">
        <v>13944</v>
      </c>
    </row>
    <row r="105" spans="1:3">
      <c r="A105" s="17" t="s">
        <v>732</v>
      </c>
      <c r="B105" s="77" t="s">
        <v>387</v>
      </c>
      <c r="C105" s="77">
        <v>12190</v>
      </c>
    </row>
    <row r="106" spans="1:3">
      <c r="A106" s="17" t="s">
        <v>733</v>
      </c>
      <c r="B106" s="77" t="s">
        <v>390</v>
      </c>
      <c r="C106" s="77">
        <v>21141</v>
      </c>
    </row>
    <row r="107" spans="1:3">
      <c r="A107" s="17" t="s">
        <v>734</v>
      </c>
      <c r="B107" s="77" t="s">
        <v>381</v>
      </c>
      <c r="C107" s="77">
        <v>27840</v>
      </c>
    </row>
    <row r="108" spans="1:3">
      <c r="A108" s="17" t="s">
        <v>735</v>
      </c>
      <c r="B108" s="77" t="s">
        <v>381</v>
      </c>
      <c r="C108" s="77">
        <v>22800</v>
      </c>
    </row>
    <row r="109" spans="1:3">
      <c r="A109" s="17" t="s">
        <v>736</v>
      </c>
      <c r="B109" s="77" t="s">
        <v>383</v>
      </c>
      <c r="C109" s="77">
        <v>1680</v>
      </c>
    </row>
    <row r="110" spans="1:3">
      <c r="A110" s="17" t="s">
        <v>737</v>
      </c>
      <c r="B110" s="77" t="s">
        <v>390</v>
      </c>
      <c r="C110" s="77">
        <v>1012</v>
      </c>
    </row>
    <row r="111" spans="1:3">
      <c r="A111" s="17" t="s">
        <v>738</v>
      </c>
      <c r="B111" s="77" t="s">
        <v>383</v>
      </c>
      <c r="C111" s="77">
        <v>13904</v>
      </c>
    </row>
    <row r="112" spans="1:3">
      <c r="A112" s="17" t="s">
        <v>739</v>
      </c>
      <c r="B112" s="77" t="s">
        <v>391</v>
      </c>
      <c r="C112" s="77">
        <v>19642</v>
      </c>
    </row>
    <row r="113" spans="1:3">
      <c r="A113" s="17" t="s">
        <v>740</v>
      </c>
      <c r="B113" s="77" t="s">
        <v>391</v>
      </c>
      <c r="C113" s="77">
        <v>20181</v>
      </c>
    </row>
    <row r="114" spans="1:3">
      <c r="A114" s="17" t="s">
        <v>741</v>
      </c>
      <c r="B114" s="77" t="s">
        <v>385</v>
      </c>
      <c r="C114" s="77">
        <v>8160</v>
      </c>
    </row>
    <row r="115" spans="1:3">
      <c r="A115" s="17" t="s">
        <v>493</v>
      </c>
      <c r="B115" s="77" t="s">
        <v>380</v>
      </c>
      <c r="C115" s="77">
        <v>1760</v>
      </c>
    </row>
    <row r="116" spans="1:3">
      <c r="A116" s="17" t="s">
        <v>494</v>
      </c>
      <c r="B116" s="77" t="s">
        <v>384</v>
      </c>
      <c r="C116" s="77">
        <v>19635</v>
      </c>
    </row>
    <row r="117" spans="1:3">
      <c r="A117" s="17" t="s">
        <v>495</v>
      </c>
      <c r="B117" s="77" t="s">
        <v>388</v>
      </c>
      <c r="C117" s="77">
        <v>27608</v>
      </c>
    </row>
    <row r="118" spans="1:3">
      <c r="A118" s="17" t="s">
        <v>496</v>
      </c>
      <c r="B118" s="77" t="s">
        <v>386</v>
      </c>
      <c r="C118" s="77">
        <v>5168</v>
      </c>
    </row>
    <row r="119" spans="1:3">
      <c r="A119" s="17" t="s">
        <v>497</v>
      </c>
      <c r="B119" s="77" t="s">
        <v>386</v>
      </c>
      <c r="C119" s="77">
        <v>14007</v>
      </c>
    </row>
    <row r="120" spans="1:3">
      <c r="A120" s="17" t="s">
        <v>498</v>
      </c>
      <c r="B120" s="77" t="s">
        <v>378</v>
      </c>
      <c r="C120" s="77">
        <v>10602</v>
      </c>
    </row>
    <row r="121" spans="1:3">
      <c r="A121" s="17" t="s">
        <v>499</v>
      </c>
      <c r="B121" s="77" t="s">
        <v>391</v>
      </c>
      <c r="C121" s="77">
        <v>340</v>
      </c>
    </row>
    <row r="122" spans="1:3">
      <c r="A122" s="17" t="s">
        <v>500</v>
      </c>
      <c r="B122" s="77" t="s">
        <v>380</v>
      </c>
      <c r="C122" s="77">
        <v>13486</v>
      </c>
    </row>
    <row r="123" spans="1:3">
      <c r="A123" s="17" t="s">
        <v>501</v>
      </c>
      <c r="B123" s="77" t="s">
        <v>391</v>
      </c>
      <c r="C123" s="77">
        <v>7999</v>
      </c>
    </row>
    <row r="124" spans="1:3">
      <c r="A124" s="17" t="s">
        <v>742</v>
      </c>
      <c r="B124" s="77" t="s">
        <v>391</v>
      </c>
      <c r="C124" s="77">
        <v>19250</v>
      </c>
    </row>
    <row r="125" spans="1:3">
      <c r="A125" s="17" t="s">
        <v>502</v>
      </c>
      <c r="B125" s="77" t="s">
        <v>388</v>
      </c>
      <c r="C125" s="77">
        <v>4956</v>
      </c>
    </row>
    <row r="126" spans="1:3">
      <c r="A126" s="17" t="s">
        <v>503</v>
      </c>
      <c r="B126" s="77" t="s">
        <v>388</v>
      </c>
      <c r="C126" s="77">
        <v>2163</v>
      </c>
    </row>
    <row r="127" spans="1:3">
      <c r="A127" s="17" t="s">
        <v>504</v>
      </c>
      <c r="B127" s="77" t="s">
        <v>392</v>
      </c>
      <c r="C127" s="77">
        <v>11060</v>
      </c>
    </row>
    <row r="128" spans="1:3">
      <c r="A128" s="17" t="s">
        <v>505</v>
      </c>
      <c r="B128" s="77" t="s">
        <v>381</v>
      </c>
      <c r="C128" s="77">
        <v>11424</v>
      </c>
    </row>
    <row r="129" spans="1:3">
      <c r="A129" s="17" t="s">
        <v>506</v>
      </c>
      <c r="B129" s="77" t="s">
        <v>391</v>
      </c>
      <c r="C129" s="77">
        <v>7722</v>
      </c>
    </row>
    <row r="130" spans="1:3">
      <c r="A130" s="17" t="s">
        <v>507</v>
      </c>
      <c r="B130" s="77" t="s">
        <v>383</v>
      </c>
      <c r="C130" s="77">
        <v>6996</v>
      </c>
    </row>
    <row r="131" spans="1:3">
      <c r="A131" s="17" t="s">
        <v>508</v>
      </c>
      <c r="B131" s="77" t="s">
        <v>388</v>
      </c>
      <c r="C131" s="77">
        <v>9900</v>
      </c>
    </row>
    <row r="132" spans="1:3">
      <c r="A132" s="17" t="s">
        <v>509</v>
      </c>
      <c r="B132" s="77" t="s">
        <v>391</v>
      </c>
      <c r="C132" s="77">
        <v>15288</v>
      </c>
    </row>
    <row r="133" spans="1:3">
      <c r="A133" s="17" t="s">
        <v>510</v>
      </c>
      <c r="B133" s="77" t="s">
        <v>386</v>
      </c>
      <c r="C133" s="77">
        <v>17136</v>
      </c>
    </row>
    <row r="134" spans="1:3">
      <c r="A134" s="17" t="s">
        <v>743</v>
      </c>
      <c r="B134" s="77" t="s">
        <v>375</v>
      </c>
      <c r="C134" s="77">
        <v>2392</v>
      </c>
    </row>
    <row r="135" spans="1:3">
      <c r="A135" s="17" t="s">
        <v>511</v>
      </c>
      <c r="B135" s="77" t="s">
        <v>382</v>
      </c>
      <c r="C135" s="77">
        <v>7196</v>
      </c>
    </row>
    <row r="136" spans="1:3">
      <c r="A136" s="17" t="s">
        <v>512</v>
      </c>
      <c r="B136" s="77" t="s">
        <v>383</v>
      </c>
      <c r="C136" s="77">
        <v>6650</v>
      </c>
    </row>
    <row r="137" spans="1:3">
      <c r="A137" s="17" t="s">
        <v>513</v>
      </c>
      <c r="B137" s="77" t="s">
        <v>388</v>
      </c>
      <c r="C137" s="77">
        <v>12742</v>
      </c>
    </row>
    <row r="138" spans="1:3">
      <c r="A138" s="17" t="s">
        <v>514</v>
      </c>
      <c r="B138" s="77" t="s">
        <v>377</v>
      </c>
      <c r="C138" s="77">
        <v>14670</v>
      </c>
    </row>
    <row r="139" spans="1:3">
      <c r="A139" s="17" t="s">
        <v>515</v>
      </c>
      <c r="B139" s="77" t="s">
        <v>376</v>
      </c>
      <c r="C139" s="77">
        <v>3277</v>
      </c>
    </row>
    <row r="140" spans="1:3">
      <c r="A140" s="17" t="s">
        <v>516</v>
      </c>
      <c r="B140" s="77" t="s">
        <v>381</v>
      </c>
      <c r="C140" s="77">
        <v>20874</v>
      </c>
    </row>
    <row r="141" spans="1:3">
      <c r="A141" s="17" t="s">
        <v>517</v>
      </c>
      <c r="B141" s="77" t="s">
        <v>380</v>
      </c>
      <c r="C141" s="77">
        <v>16284</v>
      </c>
    </row>
    <row r="142" spans="1:3">
      <c r="A142" s="17" t="s">
        <v>518</v>
      </c>
      <c r="B142" s="77" t="s">
        <v>380</v>
      </c>
      <c r="C142" s="77">
        <v>16414</v>
      </c>
    </row>
    <row r="143" spans="1:3">
      <c r="A143" s="17" t="s">
        <v>519</v>
      </c>
      <c r="B143" s="77" t="s">
        <v>385</v>
      </c>
      <c r="C143" s="77">
        <v>3328</v>
      </c>
    </row>
    <row r="144" spans="1:3">
      <c r="A144" s="17" t="s">
        <v>744</v>
      </c>
      <c r="B144" s="77" t="s">
        <v>383</v>
      </c>
      <c r="C144" s="77">
        <v>9338</v>
      </c>
    </row>
    <row r="145" spans="1:3">
      <c r="A145" s="17" t="s">
        <v>520</v>
      </c>
      <c r="B145" s="77" t="s">
        <v>389</v>
      </c>
      <c r="C145" s="77">
        <v>6902</v>
      </c>
    </row>
    <row r="146" spans="1:3">
      <c r="A146" s="17" t="s">
        <v>521</v>
      </c>
      <c r="B146" s="77" t="s">
        <v>391</v>
      </c>
      <c r="C146" s="77">
        <v>5096</v>
      </c>
    </row>
    <row r="147" spans="1:3">
      <c r="A147" s="17" t="s">
        <v>522</v>
      </c>
      <c r="B147" s="77" t="s">
        <v>389</v>
      </c>
      <c r="C147" s="77">
        <v>3270</v>
      </c>
    </row>
    <row r="148" spans="1:3">
      <c r="A148" s="17" t="s">
        <v>523</v>
      </c>
      <c r="B148" s="77" t="s">
        <v>375</v>
      </c>
      <c r="C148" s="77">
        <v>8959</v>
      </c>
    </row>
    <row r="149" spans="1:3">
      <c r="A149" s="17" t="s">
        <v>524</v>
      </c>
      <c r="B149" s="77" t="s">
        <v>387</v>
      </c>
      <c r="C149" s="77">
        <v>1349</v>
      </c>
    </row>
    <row r="150" spans="1:3">
      <c r="A150" s="17" t="s">
        <v>525</v>
      </c>
      <c r="B150" s="77" t="s">
        <v>386</v>
      </c>
      <c r="C150" s="77">
        <v>4840</v>
      </c>
    </row>
    <row r="151" spans="1:3">
      <c r="A151" s="17" t="s">
        <v>526</v>
      </c>
      <c r="B151" s="77" t="s">
        <v>391</v>
      </c>
      <c r="C151" s="77">
        <v>13648</v>
      </c>
    </row>
    <row r="152" spans="1:3">
      <c r="A152" s="17" t="s">
        <v>527</v>
      </c>
      <c r="B152" s="77" t="s">
        <v>382</v>
      </c>
      <c r="C152" s="77">
        <v>12540</v>
      </c>
    </row>
    <row r="153" spans="1:3">
      <c r="A153" s="17" t="s">
        <v>528</v>
      </c>
      <c r="B153" s="77" t="s">
        <v>390</v>
      </c>
      <c r="C153" s="77">
        <v>19000</v>
      </c>
    </row>
    <row r="154" spans="1:3">
      <c r="A154" s="17" t="s">
        <v>745</v>
      </c>
      <c r="B154" s="77" t="s">
        <v>375</v>
      </c>
      <c r="C154" s="77">
        <v>6475</v>
      </c>
    </row>
    <row r="155" spans="1:3">
      <c r="A155" s="17" t="s">
        <v>529</v>
      </c>
      <c r="B155" s="77" t="s">
        <v>386</v>
      </c>
      <c r="C155" s="77">
        <v>19752</v>
      </c>
    </row>
    <row r="156" spans="1:3">
      <c r="A156" s="17" t="s">
        <v>530</v>
      </c>
      <c r="B156" s="77" t="s">
        <v>389</v>
      </c>
      <c r="C156" s="77">
        <v>12673</v>
      </c>
    </row>
    <row r="157" spans="1:3">
      <c r="A157" s="17" t="s">
        <v>531</v>
      </c>
      <c r="B157" s="77" t="s">
        <v>380</v>
      </c>
      <c r="C157" s="77">
        <v>22880</v>
      </c>
    </row>
    <row r="158" spans="1:3">
      <c r="A158" s="17" t="s">
        <v>532</v>
      </c>
      <c r="B158" s="77" t="s">
        <v>375</v>
      </c>
      <c r="C158" s="77">
        <v>25542</v>
      </c>
    </row>
    <row r="159" spans="1:3">
      <c r="A159" s="17" t="s">
        <v>533</v>
      </c>
      <c r="B159" s="77" t="s">
        <v>382</v>
      </c>
      <c r="C159" s="77">
        <v>2300</v>
      </c>
    </row>
    <row r="160" spans="1:3">
      <c r="A160" s="17" t="s">
        <v>534</v>
      </c>
      <c r="B160" s="77" t="s">
        <v>376</v>
      </c>
      <c r="C160" s="77">
        <v>7644</v>
      </c>
    </row>
    <row r="161" spans="1:3">
      <c r="A161" s="17" t="s">
        <v>535</v>
      </c>
      <c r="B161" s="77" t="s">
        <v>392</v>
      </c>
      <c r="C161" s="77">
        <v>6870</v>
      </c>
    </row>
    <row r="162" spans="1:3">
      <c r="A162" s="17" t="s">
        <v>536</v>
      </c>
      <c r="B162" s="77" t="s">
        <v>387</v>
      </c>
      <c r="C162" s="77">
        <v>3264</v>
      </c>
    </row>
    <row r="163" spans="1:3">
      <c r="A163" s="17" t="s">
        <v>537</v>
      </c>
      <c r="B163" s="77" t="s">
        <v>380</v>
      </c>
      <c r="C163" s="77">
        <v>6024</v>
      </c>
    </row>
    <row r="164" spans="1:3">
      <c r="A164" s="17" t="s">
        <v>746</v>
      </c>
      <c r="B164" s="77" t="s">
        <v>392</v>
      </c>
      <c r="C164" s="77">
        <v>5600</v>
      </c>
    </row>
    <row r="165" spans="1:3">
      <c r="A165" s="17" t="s">
        <v>538</v>
      </c>
      <c r="B165" s="77" t="s">
        <v>383</v>
      </c>
      <c r="C165" s="77">
        <v>2047</v>
      </c>
    </row>
    <row r="166" spans="1:3">
      <c r="A166" s="17" t="s">
        <v>539</v>
      </c>
      <c r="B166" s="77" t="s">
        <v>378</v>
      </c>
      <c r="C166" s="77">
        <v>15561</v>
      </c>
    </row>
    <row r="167" spans="1:3">
      <c r="A167" s="17" t="s">
        <v>540</v>
      </c>
      <c r="B167" s="77" t="s">
        <v>387</v>
      </c>
      <c r="C167" s="77">
        <v>966</v>
      </c>
    </row>
    <row r="168" spans="1:3">
      <c r="A168" s="17" t="s">
        <v>541</v>
      </c>
      <c r="B168" s="77" t="s">
        <v>376</v>
      </c>
      <c r="C168" s="77">
        <v>7859</v>
      </c>
    </row>
    <row r="169" spans="1:3">
      <c r="A169" s="17" t="s">
        <v>542</v>
      </c>
      <c r="B169" s="77" t="s">
        <v>375</v>
      </c>
      <c r="C169" s="77">
        <v>12006</v>
      </c>
    </row>
    <row r="170" spans="1:3">
      <c r="A170" s="17" t="s">
        <v>543</v>
      </c>
      <c r="B170" s="77" t="s">
        <v>388</v>
      </c>
      <c r="C170" s="77">
        <v>946</v>
      </c>
    </row>
    <row r="171" spans="1:3">
      <c r="A171" s="17" t="s">
        <v>544</v>
      </c>
      <c r="B171" s="77" t="s">
        <v>375</v>
      </c>
      <c r="C171" s="77">
        <v>21868</v>
      </c>
    </row>
    <row r="172" spans="1:3">
      <c r="A172" s="17" t="s">
        <v>545</v>
      </c>
      <c r="B172" s="77" t="s">
        <v>379</v>
      </c>
      <c r="C172" s="77">
        <v>20592</v>
      </c>
    </row>
    <row r="173" spans="1:3">
      <c r="A173" s="17" t="s">
        <v>546</v>
      </c>
      <c r="B173" s="77" t="s">
        <v>375</v>
      </c>
      <c r="C173" s="77">
        <v>16082</v>
      </c>
    </row>
    <row r="174" spans="1:3">
      <c r="A174" s="17" t="s">
        <v>747</v>
      </c>
      <c r="B174" s="77" t="s">
        <v>389</v>
      </c>
      <c r="C174" s="77">
        <v>13442</v>
      </c>
    </row>
    <row r="175" spans="1:3">
      <c r="A175" s="17" t="s">
        <v>547</v>
      </c>
      <c r="B175" s="77" t="s">
        <v>389</v>
      </c>
      <c r="C175" s="77">
        <v>3570</v>
      </c>
    </row>
    <row r="176" spans="1:3">
      <c r="A176" s="17" t="s">
        <v>548</v>
      </c>
      <c r="B176" s="77" t="s">
        <v>387</v>
      </c>
      <c r="C176" s="77">
        <v>8004</v>
      </c>
    </row>
    <row r="177" spans="1:3">
      <c r="A177" s="17" t="s">
        <v>549</v>
      </c>
      <c r="B177" s="77" t="s">
        <v>380</v>
      </c>
      <c r="C177" s="77">
        <v>2600</v>
      </c>
    </row>
    <row r="178" spans="1:3">
      <c r="A178" s="17" t="s">
        <v>550</v>
      </c>
      <c r="B178" s="77" t="s">
        <v>378</v>
      </c>
      <c r="C178" s="77">
        <v>24331</v>
      </c>
    </row>
    <row r="179" spans="1:3">
      <c r="A179" s="17" t="s">
        <v>551</v>
      </c>
      <c r="B179" s="77" t="s">
        <v>388</v>
      </c>
      <c r="C179" s="77">
        <v>17052</v>
      </c>
    </row>
    <row r="180" spans="1:3">
      <c r="A180" s="17" t="s">
        <v>552</v>
      </c>
      <c r="B180" s="77" t="s">
        <v>387</v>
      </c>
      <c r="C180" s="77">
        <v>11928</v>
      </c>
    </row>
    <row r="181" spans="1:3">
      <c r="A181" s="17" t="s">
        <v>553</v>
      </c>
      <c r="B181" s="77" t="s">
        <v>383</v>
      </c>
      <c r="C181" s="77">
        <v>3260</v>
      </c>
    </row>
    <row r="182" spans="1:3">
      <c r="A182" s="17" t="s">
        <v>554</v>
      </c>
      <c r="B182" s="77" t="s">
        <v>384</v>
      </c>
      <c r="C182" s="77">
        <v>1992</v>
      </c>
    </row>
    <row r="183" spans="1:3">
      <c r="A183" s="17" t="s">
        <v>555</v>
      </c>
      <c r="B183" s="77" t="s">
        <v>384</v>
      </c>
      <c r="C183" s="77">
        <v>9456</v>
      </c>
    </row>
    <row r="184" spans="1:3">
      <c r="A184" s="17" t="s">
        <v>748</v>
      </c>
      <c r="B184" s="77" t="s">
        <v>382</v>
      </c>
      <c r="C184" s="77">
        <v>2268</v>
      </c>
    </row>
    <row r="185" spans="1:3">
      <c r="A185" s="17" t="s">
        <v>556</v>
      </c>
      <c r="B185" s="77" t="s">
        <v>391</v>
      </c>
      <c r="C185" s="77">
        <v>20700</v>
      </c>
    </row>
    <row r="186" spans="1:3">
      <c r="A186" s="17" t="s">
        <v>557</v>
      </c>
      <c r="B186" s="77" t="s">
        <v>383</v>
      </c>
      <c r="C186" s="77">
        <v>5500</v>
      </c>
    </row>
    <row r="187" spans="1:3">
      <c r="A187" s="17" t="s">
        <v>558</v>
      </c>
      <c r="B187" s="77" t="s">
        <v>391</v>
      </c>
      <c r="C187" s="77">
        <v>14766</v>
      </c>
    </row>
    <row r="188" spans="1:3">
      <c r="A188" s="17" t="s">
        <v>559</v>
      </c>
      <c r="B188" s="77" t="s">
        <v>385</v>
      </c>
      <c r="C188" s="77">
        <v>5073</v>
      </c>
    </row>
    <row r="189" spans="1:3">
      <c r="A189" s="17" t="s">
        <v>560</v>
      </c>
      <c r="B189" s="77" t="s">
        <v>384</v>
      </c>
      <c r="C189" s="77">
        <v>1800</v>
      </c>
    </row>
    <row r="190" spans="1:3">
      <c r="A190" s="17" t="s">
        <v>561</v>
      </c>
      <c r="B190" s="77" t="s">
        <v>378</v>
      </c>
      <c r="C190" s="77">
        <v>19575</v>
      </c>
    </row>
    <row r="191" spans="1:3">
      <c r="A191" s="17" t="s">
        <v>562</v>
      </c>
      <c r="B191" s="77" t="s">
        <v>376</v>
      </c>
      <c r="C191" s="77">
        <v>6135</v>
      </c>
    </row>
    <row r="192" spans="1:3">
      <c r="A192" s="17" t="s">
        <v>563</v>
      </c>
      <c r="B192" s="77" t="s">
        <v>378</v>
      </c>
      <c r="C192" s="77">
        <v>6570</v>
      </c>
    </row>
    <row r="193" spans="1:3">
      <c r="A193" s="17" t="s">
        <v>564</v>
      </c>
      <c r="B193" s="77" t="s">
        <v>387</v>
      </c>
      <c r="C193" s="77">
        <v>5380</v>
      </c>
    </row>
    <row r="194" spans="1:3">
      <c r="A194" s="17" t="s">
        <v>749</v>
      </c>
      <c r="B194" s="77" t="s">
        <v>391</v>
      </c>
      <c r="C194" s="77">
        <v>11196</v>
      </c>
    </row>
    <row r="195" spans="1:3">
      <c r="A195" s="17" t="s">
        <v>565</v>
      </c>
      <c r="B195" s="77" t="s">
        <v>378</v>
      </c>
      <c r="C195" s="77">
        <v>12855</v>
      </c>
    </row>
    <row r="196" spans="1:3">
      <c r="A196" s="17" t="s">
        <v>566</v>
      </c>
      <c r="B196" s="77" t="s">
        <v>390</v>
      </c>
      <c r="C196" s="77">
        <v>377</v>
      </c>
    </row>
    <row r="197" spans="1:3">
      <c r="A197" s="17" t="s">
        <v>567</v>
      </c>
      <c r="B197" s="77" t="s">
        <v>377</v>
      </c>
      <c r="C197" s="77">
        <v>14041</v>
      </c>
    </row>
    <row r="198" spans="1:3">
      <c r="A198" s="17" t="s">
        <v>568</v>
      </c>
      <c r="B198" s="77" t="s">
        <v>380</v>
      </c>
      <c r="C198" s="77">
        <v>18912</v>
      </c>
    </row>
    <row r="199" spans="1:3">
      <c r="A199" s="17" t="s">
        <v>569</v>
      </c>
      <c r="B199" s="77" t="s">
        <v>377</v>
      </c>
      <c r="C199" s="77">
        <v>14229</v>
      </c>
    </row>
    <row r="200" spans="1:3">
      <c r="A200" s="17" t="s">
        <v>570</v>
      </c>
      <c r="B200" s="77" t="s">
        <v>386</v>
      </c>
      <c r="C200" s="77">
        <v>9367</v>
      </c>
    </row>
    <row r="201" spans="1:3">
      <c r="A201" s="17" t="s">
        <v>571</v>
      </c>
      <c r="B201" s="77" t="s">
        <v>389</v>
      </c>
      <c r="C201" s="77">
        <v>2700</v>
      </c>
    </row>
    <row r="202" spans="1:3">
      <c r="A202" s="17" t="s">
        <v>572</v>
      </c>
      <c r="B202" s="77" t="s">
        <v>384</v>
      </c>
      <c r="C202" s="77">
        <v>21956</v>
      </c>
    </row>
    <row r="203" spans="1:3">
      <c r="A203" s="17" t="s">
        <v>573</v>
      </c>
      <c r="B203" s="77" t="s">
        <v>389</v>
      </c>
      <c r="C203" s="77">
        <v>5610</v>
      </c>
    </row>
    <row r="204" spans="1:3">
      <c r="A204" s="17" t="s">
        <v>750</v>
      </c>
      <c r="B204" s="77" t="s">
        <v>384</v>
      </c>
      <c r="C204" s="77">
        <v>15100</v>
      </c>
    </row>
    <row r="205" spans="1:3">
      <c r="A205" s="17" t="s">
        <v>751</v>
      </c>
      <c r="B205" s="77" t="s">
        <v>387</v>
      </c>
      <c r="C205" s="77">
        <v>21034</v>
      </c>
    </row>
    <row r="206" spans="1:3">
      <c r="A206" s="17" t="s">
        <v>752</v>
      </c>
      <c r="B206" s="77" t="s">
        <v>386</v>
      </c>
      <c r="C206" s="77">
        <v>2312</v>
      </c>
    </row>
    <row r="207" spans="1:3">
      <c r="A207" s="17" t="s">
        <v>753</v>
      </c>
      <c r="B207" s="77" t="s">
        <v>383</v>
      </c>
      <c r="C207" s="77">
        <v>9913</v>
      </c>
    </row>
    <row r="208" spans="1:3">
      <c r="A208" s="17" t="s">
        <v>754</v>
      </c>
      <c r="B208" s="77" t="s">
        <v>389</v>
      </c>
      <c r="C208" s="77">
        <v>9552</v>
      </c>
    </row>
    <row r="209" spans="1:3">
      <c r="A209" s="17" t="s">
        <v>755</v>
      </c>
      <c r="B209" s="77" t="s">
        <v>375</v>
      </c>
      <c r="C209" s="77">
        <v>18962</v>
      </c>
    </row>
    <row r="210" spans="1:3">
      <c r="A210" s="17" t="s">
        <v>756</v>
      </c>
      <c r="B210" s="77" t="s">
        <v>377</v>
      </c>
      <c r="C210" s="77">
        <v>3840</v>
      </c>
    </row>
    <row r="211" spans="1:3">
      <c r="A211" s="17" t="s">
        <v>757</v>
      </c>
      <c r="B211" s="77" t="s">
        <v>382</v>
      </c>
      <c r="C211" s="77">
        <v>2980</v>
      </c>
    </row>
    <row r="212" spans="1:3">
      <c r="A212" s="17" t="s">
        <v>758</v>
      </c>
      <c r="B212" s="77" t="s">
        <v>391</v>
      </c>
      <c r="C212" s="77">
        <v>20592</v>
      </c>
    </row>
    <row r="213" spans="1:3">
      <c r="A213" s="17" t="s">
        <v>759</v>
      </c>
      <c r="B213" s="77" t="s">
        <v>379</v>
      </c>
      <c r="C213" s="77">
        <v>308</v>
      </c>
    </row>
    <row r="214" spans="1:3">
      <c r="A214" s="17" t="s">
        <v>760</v>
      </c>
      <c r="B214" s="77" t="s">
        <v>384</v>
      </c>
      <c r="C214" s="77">
        <v>14544</v>
      </c>
    </row>
    <row r="215" spans="1:3">
      <c r="A215" s="17" t="s">
        <v>574</v>
      </c>
      <c r="B215" s="77" t="s">
        <v>382</v>
      </c>
      <c r="C215" s="77">
        <v>19470</v>
      </c>
    </row>
    <row r="216" spans="1:3">
      <c r="A216" s="17" t="s">
        <v>575</v>
      </c>
      <c r="B216" s="77" t="s">
        <v>381</v>
      </c>
      <c r="C216" s="77">
        <v>12806</v>
      </c>
    </row>
    <row r="217" spans="1:3">
      <c r="A217" s="17" t="s">
        <v>576</v>
      </c>
      <c r="B217" s="77" t="s">
        <v>385</v>
      </c>
      <c r="C217" s="77">
        <v>12528</v>
      </c>
    </row>
    <row r="218" spans="1:3">
      <c r="A218" s="17" t="s">
        <v>577</v>
      </c>
      <c r="B218" s="77" t="s">
        <v>388</v>
      </c>
      <c r="C218" s="77">
        <v>5899</v>
      </c>
    </row>
    <row r="219" spans="1:3">
      <c r="A219" s="17" t="s">
        <v>578</v>
      </c>
      <c r="B219" s="77" t="s">
        <v>385</v>
      </c>
      <c r="C219" s="77">
        <v>14000</v>
      </c>
    </row>
    <row r="220" spans="1:3">
      <c r="A220" s="17" t="s">
        <v>579</v>
      </c>
      <c r="B220" s="77" t="s">
        <v>380</v>
      </c>
      <c r="C220" s="77">
        <v>11220</v>
      </c>
    </row>
    <row r="221" spans="1:3">
      <c r="A221" s="17" t="s">
        <v>580</v>
      </c>
      <c r="B221" s="77" t="s">
        <v>388</v>
      </c>
      <c r="C221" s="77">
        <v>9288</v>
      </c>
    </row>
    <row r="222" spans="1:3">
      <c r="A222" s="17" t="s">
        <v>581</v>
      </c>
      <c r="B222" s="77" t="s">
        <v>381</v>
      </c>
      <c r="C222" s="77">
        <v>1710</v>
      </c>
    </row>
    <row r="223" spans="1:3">
      <c r="A223" s="17" t="s">
        <v>582</v>
      </c>
      <c r="B223" s="77" t="s">
        <v>384</v>
      </c>
      <c r="C223" s="77">
        <v>7277</v>
      </c>
    </row>
    <row r="224" spans="1:3">
      <c r="A224" s="17" t="s">
        <v>761</v>
      </c>
      <c r="B224" s="77" t="s">
        <v>380</v>
      </c>
      <c r="C224" s="77">
        <v>27057</v>
      </c>
    </row>
    <row r="225" spans="1:3">
      <c r="A225" s="17" t="s">
        <v>583</v>
      </c>
      <c r="B225" s="77" t="s">
        <v>390</v>
      </c>
      <c r="C225" s="77">
        <v>1876</v>
      </c>
    </row>
    <row r="226" spans="1:3">
      <c r="A226" s="17" t="s">
        <v>584</v>
      </c>
      <c r="B226" s="77" t="s">
        <v>391</v>
      </c>
      <c r="C226" s="77">
        <v>14750</v>
      </c>
    </row>
    <row r="227" spans="1:3">
      <c r="A227" s="17" t="s">
        <v>585</v>
      </c>
      <c r="B227" s="77" t="s">
        <v>390</v>
      </c>
      <c r="C227" s="77">
        <v>18720</v>
      </c>
    </row>
    <row r="228" spans="1:3">
      <c r="A228" s="17" t="s">
        <v>586</v>
      </c>
      <c r="B228" s="77" t="s">
        <v>384</v>
      </c>
      <c r="C228" s="77">
        <v>14098</v>
      </c>
    </row>
    <row r="229" spans="1:3">
      <c r="A229" s="17" t="s">
        <v>587</v>
      </c>
      <c r="B229" s="77" t="s">
        <v>381</v>
      </c>
      <c r="C229" s="77">
        <v>25220</v>
      </c>
    </row>
    <row r="230" spans="1:3">
      <c r="A230" s="17" t="s">
        <v>588</v>
      </c>
      <c r="B230" s="77" t="s">
        <v>391</v>
      </c>
      <c r="C230" s="77">
        <v>10440</v>
      </c>
    </row>
    <row r="231" spans="1:3">
      <c r="A231" s="17" t="s">
        <v>589</v>
      </c>
      <c r="B231" s="77" t="s">
        <v>388</v>
      </c>
      <c r="C231" s="77">
        <v>16016</v>
      </c>
    </row>
    <row r="232" spans="1:3">
      <c r="A232" s="17" t="s">
        <v>590</v>
      </c>
      <c r="B232" s="77" t="s">
        <v>375</v>
      </c>
      <c r="C232" s="77">
        <v>16872</v>
      </c>
    </row>
    <row r="233" spans="1:3">
      <c r="A233" s="17" t="s">
        <v>591</v>
      </c>
      <c r="B233" s="77" t="s">
        <v>380</v>
      </c>
      <c r="C233" s="77">
        <v>14640</v>
      </c>
    </row>
    <row r="234" spans="1:3">
      <c r="A234" s="17" t="s">
        <v>762</v>
      </c>
      <c r="B234" s="77" t="s">
        <v>388</v>
      </c>
      <c r="C234" s="77">
        <v>10404</v>
      </c>
    </row>
    <row r="235" spans="1:3">
      <c r="A235" s="17" t="s">
        <v>592</v>
      </c>
      <c r="B235" s="77" t="s">
        <v>375</v>
      </c>
      <c r="C235" s="77">
        <v>22264</v>
      </c>
    </row>
    <row r="236" spans="1:3">
      <c r="A236" s="17" t="s">
        <v>593</v>
      </c>
      <c r="B236" s="77" t="s">
        <v>383</v>
      </c>
      <c r="C236" s="77">
        <v>23760</v>
      </c>
    </row>
    <row r="237" spans="1:3">
      <c r="A237" s="17" t="s">
        <v>594</v>
      </c>
      <c r="B237" s="77" t="s">
        <v>376</v>
      </c>
      <c r="C237" s="77">
        <v>21054</v>
      </c>
    </row>
    <row r="238" spans="1:3">
      <c r="A238" s="17" t="s">
        <v>595</v>
      </c>
      <c r="B238" s="77" t="s">
        <v>380</v>
      </c>
      <c r="C238" s="77">
        <v>2522</v>
      </c>
    </row>
    <row r="239" spans="1:3">
      <c r="A239" s="17" t="s">
        <v>596</v>
      </c>
      <c r="B239" s="77" t="s">
        <v>387</v>
      </c>
      <c r="C239" s="77">
        <v>11462</v>
      </c>
    </row>
    <row r="240" spans="1:3">
      <c r="A240" s="17" t="s">
        <v>597</v>
      </c>
      <c r="B240" s="77" t="s">
        <v>376</v>
      </c>
      <c r="C240" s="77">
        <v>6045</v>
      </c>
    </row>
    <row r="241" spans="1:3">
      <c r="A241" s="17" t="s">
        <v>598</v>
      </c>
      <c r="B241" s="77" t="s">
        <v>388</v>
      </c>
      <c r="C241" s="77">
        <v>14036</v>
      </c>
    </row>
    <row r="242" spans="1:3">
      <c r="A242" s="17" t="s">
        <v>599</v>
      </c>
      <c r="B242" s="77" t="s">
        <v>387</v>
      </c>
      <c r="C242" s="77">
        <v>18816</v>
      </c>
    </row>
    <row r="243" spans="1:3">
      <c r="A243" s="17" t="s">
        <v>600</v>
      </c>
      <c r="B243" s="77" t="s">
        <v>382</v>
      </c>
      <c r="C243" s="77">
        <v>13200</v>
      </c>
    </row>
    <row r="244" spans="1:3">
      <c r="A244" s="17" t="s">
        <v>763</v>
      </c>
      <c r="B244" s="77" t="s">
        <v>375</v>
      </c>
      <c r="C244" s="77">
        <v>17974</v>
      </c>
    </row>
    <row r="245" spans="1:3">
      <c r="A245" s="17" t="s">
        <v>601</v>
      </c>
      <c r="B245" s="77" t="s">
        <v>379</v>
      </c>
      <c r="C245" s="77">
        <v>3683</v>
      </c>
    </row>
    <row r="246" spans="1:3">
      <c r="A246" s="17" t="s">
        <v>602</v>
      </c>
      <c r="B246" s="77" t="s">
        <v>389</v>
      </c>
      <c r="C246" s="77">
        <v>13957</v>
      </c>
    </row>
    <row r="247" spans="1:3">
      <c r="A247" s="17" t="s">
        <v>603</v>
      </c>
      <c r="B247" s="77" t="s">
        <v>377</v>
      </c>
      <c r="C247" s="77">
        <v>11488</v>
      </c>
    </row>
    <row r="248" spans="1:3">
      <c r="A248" s="17" t="s">
        <v>604</v>
      </c>
      <c r="B248" s="77" t="s">
        <v>383</v>
      </c>
      <c r="C248" s="77">
        <v>16737</v>
      </c>
    </row>
    <row r="249" spans="1:3">
      <c r="A249" s="17" t="s">
        <v>605</v>
      </c>
      <c r="B249" s="77" t="s">
        <v>388</v>
      </c>
      <c r="C249" s="77">
        <v>4816</v>
      </c>
    </row>
    <row r="250" spans="1:3">
      <c r="A250" s="17" t="s">
        <v>606</v>
      </c>
      <c r="B250" s="77" t="s">
        <v>384</v>
      </c>
      <c r="C250" s="77">
        <v>17160</v>
      </c>
    </row>
    <row r="251" spans="1:3">
      <c r="A251" s="17" t="s">
        <v>607</v>
      </c>
      <c r="B251" s="77" t="s">
        <v>381</v>
      </c>
      <c r="C251" s="77">
        <v>2322</v>
      </c>
    </row>
    <row r="252" spans="1:3">
      <c r="A252" s="17" t="s">
        <v>608</v>
      </c>
      <c r="B252" s="77" t="s">
        <v>380</v>
      </c>
      <c r="C252" s="77">
        <v>16380</v>
      </c>
    </row>
    <row r="253" spans="1:3">
      <c r="A253" s="17" t="s">
        <v>609</v>
      </c>
      <c r="B253" s="77" t="s">
        <v>385</v>
      </c>
      <c r="C253" s="77">
        <v>5280</v>
      </c>
    </row>
    <row r="254" spans="1:3">
      <c r="A254" s="17" t="s">
        <v>764</v>
      </c>
      <c r="B254" s="77" t="s">
        <v>382</v>
      </c>
      <c r="C254" s="77">
        <v>23000</v>
      </c>
    </row>
    <row r="255" spans="1:3">
      <c r="A255" s="17" t="s">
        <v>610</v>
      </c>
      <c r="B255" s="77" t="s">
        <v>379</v>
      </c>
      <c r="C255" s="77">
        <v>5440</v>
      </c>
    </row>
    <row r="256" spans="1:3">
      <c r="A256" s="17" t="s">
        <v>611</v>
      </c>
      <c r="B256" s="77" t="s">
        <v>392</v>
      </c>
      <c r="C256" s="77">
        <v>25317</v>
      </c>
    </row>
    <row r="257" spans="1:3">
      <c r="A257" s="17" t="s">
        <v>612</v>
      </c>
      <c r="B257" s="77" t="s">
        <v>383</v>
      </c>
      <c r="C257" s="77">
        <v>22287</v>
      </c>
    </row>
    <row r="258" spans="1:3">
      <c r="A258" s="17" t="s">
        <v>613</v>
      </c>
      <c r="B258" s="77" t="s">
        <v>385</v>
      </c>
      <c r="C258" s="77">
        <v>23625</v>
      </c>
    </row>
    <row r="259" spans="1:3">
      <c r="A259" s="17" t="s">
        <v>614</v>
      </c>
      <c r="B259" s="77" t="s">
        <v>380</v>
      </c>
      <c r="C259" s="77">
        <v>8040</v>
      </c>
    </row>
    <row r="260" spans="1:3">
      <c r="A260" s="17" t="s">
        <v>615</v>
      </c>
      <c r="B260" s="77" t="s">
        <v>380</v>
      </c>
      <c r="C260" s="77">
        <v>550</v>
      </c>
    </row>
    <row r="261" spans="1:3">
      <c r="A261" s="17" t="s">
        <v>616</v>
      </c>
      <c r="B261" s="77" t="s">
        <v>384</v>
      </c>
      <c r="C261" s="77">
        <v>15912</v>
      </c>
    </row>
    <row r="262" spans="1:3">
      <c r="A262" s="17" t="s">
        <v>617</v>
      </c>
      <c r="B262" s="77" t="s">
        <v>387</v>
      </c>
      <c r="C262" s="77">
        <v>2465</v>
      </c>
    </row>
    <row r="263" spans="1:3">
      <c r="A263" s="17" t="s">
        <v>618</v>
      </c>
      <c r="B263" s="77" t="s">
        <v>380</v>
      </c>
      <c r="C263" s="77">
        <v>2783</v>
      </c>
    </row>
    <row r="264" spans="1:3">
      <c r="A264" s="17" t="s">
        <v>765</v>
      </c>
      <c r="B264" s="77" t="s">
        <v>382</v>
      </c>
      <c r="C264" s="77">
        <v>10140</v>
      </c>
    </row>
    <row r="265" spans="1:3">
      <c r="A265" s="17" t="s">
        <v>619</v>
      </c>
      <c r="B265" s="77" t="s">
        <v>392</v>
      </c>
      <c r="C265" s="77">
        <v>10296</v>
      </c>
    </row>
    <row r="266" spans="1:3">
      <c r="A266" s="17" t="s">
        <v>620</v>
      </c>
      <c r="B266" s="77" t="s">
        <v>392</v>
      </c>
      <c r="C266" s="77">
        <v>13608</v>
      </c>
    </row>
    <row r="267" spans="1:3">
      <c r="A267" s="17" t="s">
        <v>621</v>
      </c>
      <c r="B267" s="77" t="s">
        <v>381</v>
      </c>
      <c r="C267" s="77">
        <v>16200</v>
      </c>
    </row>
    <row r="268" spans="1:3">
      <c r="A268" s="17" t="s">
        <v>622</v>
      </c>
      <c r="B268" s="77" t="s">
        <v>390</v>
      </c>
      <c r="C268" s="77">
        <v>3705</v>
      </c>
    </row>
    <row r="269" spans="1:3">
      <c r="A269" s="17" t="s">
        <v>623</v>
      </c>
      <c r="B269" s="77" t="s">
        <v>388</v>
      </c>
      <c r="C269" s="77">
        <v>16238</v>
      </c>
    </row>
    <row r="270" spans="1:3">
      <c r="A270" s="17" t="s">
        <v>624</v>
      </c>
      <c r="B270" s="77" t="s">
        <v>384</v>
      </c>
      <c r="C270" s="77">
        <v>13188</v>
      </c>
    </row>
    <row r="271" spans="1:3">
      <c r="A271" s="17" t="s">
        <v>625</v>
      </c>
      <c r="B271" s="77" t="s">
        <v>382</v>
      </c>
      <c r="C271" s="77">
        <v>3020</v>
      </c>
    </row>
    <row r="272" spans="1:3">
      <c r="A272" s="17" t="s">
        <v>626</v>
      </c>
      <c r="B272" s="77" t="s">
        <v>381</v>
      </c>
      <c r="C272" s="77">
        <v>2106</v>
      </c>
    </row>
    <row r="273" spans="1:3">
      <c r="A273" s="17" t="s">
        <v>627</v>
      </c>
      <c r="B273" s="77" t="s">
        <v>382</v>
      </c>
      <c r="C273" s="77">
        <v>10816</v>
      </c>
    </row>
    <row r="274" spans="1:3">
      <c r="A274" s="17" t="s">
        <v>766</v>
      </c>
      <c r="B274" s="77" t="s">
        <v>382</v>
      </c>
      <c r="C274" s="77">
        <v>13284</v>
      </c>
    </row>
    <row r="275" spans="1:3">
      <c r="A275" s="17" t="s">
        <v>628</v>
      </c>
      <c r="B275" s="77" t="s">
        <v>388</v>
      </c>
      <c r="C275" s="77">
        <v>6150</v>
      </c>
    </row>
    <row r="276" spans="1:3">
      <c r="A276" s="17" t="s">
        <v>629</v>
      </c>
      <c r="B276" s="77" t="s">
        <v>381</v>
      </c>
      <c r="C276" s="77">
        <v>12112</v>
      </c>
    </row>
    <row r="277" spans="1:3">
      <c r="A277" s="17" t="s">
        <v>630</v>
      </c>
      <c r="B277" s="77" t="s">
        <v>381</v>
      </c>
      <c r="C277" s="77">
        <v>4966</v>
      </c>
    </row>
    <row r="278" spans="1:3">
      <c r="A278" s="17" t="s">
        <v>631</v>
      </c>
      <c r="B278" s="77" t="s">
        <v>379</v>
      </c>
      <c r="C278" s="77">
        <v>24600</v>
      </c>
    </row>
    <row r="279" spans="1:3">
      <c r="A279" s="17" t="s">
        <v>632</v>
      </c>
      <c r="B279" s="77" t="s">
        <v>375</v>
      </c>
      <c r="C279" s="77">
        <v>24500</v>
      </c>
    </row>
    <row r="280" spans="1:3">
      <c r="A280" s="17" t="s">
        <v>633</v>
      </c>
      <c r="B280" s="77" t="s">
        <v>390</v>
      </c>
      <c r="C280" s="77">
        <v>9344</v>
      </c>
    </row>
    <row r="281" spans="1:3">
      <c r="A281" s="17" t="s">
        <v>634</v>
      </c>
      <c r="B281" s="77" t="s">
        <v>378</v>
      </c>
      <c r="C281" s="77">
        <v>19100</v>
      </c>
    </row>
    <row r="282" spans="1:3">
      <c r="A282" s="17" t="s">
        <v>635</v>
      </c>
      <c r="B282" s="77" t="s">
        <v>384</v>
      </c>
      <c r="C282" s="77">
        <v>12192</v>
      </c>
    </row>
    <row r="283" spans="1:3">
      <c r="A283" s="17" t="s">
        <v>636</v>
      </c>
      <c r="B283" s="77" t="s">
        <v>381</v>
      </c>
      <c r="C283" s="77">
        <v>3741</v>
      </c>
    </row>
    <row r="284" spans="1:3">
      <c r="A284" s="17" t="s">
        <v>767</v>
      </c>
      <c r="B284" s="77" t="s">
        <v>384</v>
      </c>
      <c r="C284" s="77">
        <v>6900</v>
      </c>
    </row>
    <row r="285" spans="1:3">
      <c r="A285" s="17" t="s">
        <v>637</v>
      </c>
      <c r="B285" s="77" t="s">
        <v>385</v>
      </c>
      <c r="C285" s="77">
        <v>8961</v>
      </c>
    </row>
    <row r="286" spans="1:3">
      <c r="A286" s="17" t="s">
        <v>638</v>
      </c>
      <c r="B286" s="77" t="s">
        <v>377</v>
      </c>
      <c r="C286" s="77">
        <v>16000</v>
      </c>
    </row>
    <row r="287" spans="1:3">
      <c r="A287" s="17" t="s">
        <v>639</v>
      </c>
      <c r="B287" s="77" t="s">
        <v>389</v>
      </c>
      <c r="C287" s="77">
        <v>17250</v>
      </c>
    </row>
    <row r="288" spans="1:3">
      <c r="A288" s="17" t="s">
        <v>640</v>
      </c>
      <c r="B288" s="77" t="s">
        <v>386</v>
      </c>
      <c r="C288" s="77">
        <v>10556</v>
      </c>
    </row>
    <row r="289" spans="1:3">
      <c r="A289" s="17" t="s">
        <v>641</v>
      </c>
      <c r="B289" s="77" t="s">
        <v>386</v>
      </c>
      <c r="C289" s="77">
        <v>10788</v>
      </c>
    </row>
    <row r="290" spans="1:3">
      <c r="A290" s="17" t="s">
        <v>642</v>
      </c>
      <c r="B290" s="77" t="s">
        <v>378</v>
      </c>
      <c r="C290" s="77">
        <v>15740</v>
      </c>
    </row>
    <row r="291" spans="1:3">
      <c r="A291" s="17" t="s">
        <v>643</v>
      </c>
      <c r="B291" s="77" t="s">
        <v>378</v>
      </c>
      <c r="C291" s="77">
        <v>21605</v>
      </c>
    </row>
    <row r="292" spans="1:3">
      <c r="A292" s="17" t="s">
        <v>644</v>
      </c>
      <c r="B292" s="77" t="s">
        <v>384</v>
      </c>
      <c r="C292" s="77">
        <v>25844</v>
      </c>
    </row>
    <row r="293" spans="1:3">
      <c r="A293" s="17" t="s">
        <v>645</v>
      </c>
      <c r="B293" s="77" t="s">
        <v>380</v>
      </c>
      <c r="C293" s="77">
        <v>729</v>
      </c>
    </row>
    <row r="294" spans="1:3">
      <c r="A294" s="17" t="s">
        <v>768</v>
      </c>
      <c r="B294" s="77" t="s">
        <v>379</v>
      </c>
      <c r="C294" s="77">
        <v>7470</v>
      </c>
    </row>
    <row r="295" spans="1:3">
      <c r="A295" s="17" t="s">
        <v>646</v>
      </c>
      <c r="B295" s="77" t="s">
        <v>387</v>
      </c>
      <c r="C295" s="77">
        <v>4560</v>
      </c>
    </row>
    <row r="296" spans="1:3">
      <c r="A296" s="17" t="s">
        <v>647</v>
      </c>
      <c r="B296" s="77" t="s">
        <v>388</v>
      </c>
      <c r="C296" s="77">
        <v>2323</v>
      </c>
    </row>
    <row r="297" spans="1:3">
      <c r="A297" s="17" t="s">
        <v>648</v>
      </c>
      <c r="B297" s="77" t="s">
        <v>386</v>
      </c>
      <c r="C297" s="77">
        <v>14674</v>
      </c>
    </row>
    <row r="298" spans="1:3">
      <c r="A298" s="17" t="s">
        <v>649</v>
      </c>
      <c r="B298" s="77" t="s">
        <v>384</v>
      </c>
      <c r="C298" s="77">
        <v>14730</v>
      </c>
    </row>
    <row r="299" spans="1:3">
      <c r="A299" s="17" t="s">
        <v>650</v>
      </c>
      <c r="B299" s="77" t="s">
        <v>385</v>
      </c>
      <c r="C299" s="77">
        <v>5728</v>
      </c>
    </row>
    <row r="300" spans="1:3">
      <c r="A300" s="17" t="s">
        <v>651</v>
      </c>
      <c r="B300" s="77" t="s">
        <v>382</v>
      </c>
      <c r="C300" s="77">
        <v>1848</v>
      </c>
    </row>
    <row r="301" spans="1:3">
      <c r="A301" s="17" t="s">
        <v>652</v>
      </c>
      <c r="B301" s="77" t="s">
        <v>387</v>
      </c>
      <c r="C301" s="77">
        <v>3938</v>
      </c>
    </row>
    <row r="302" spans="1:3">
      <c r="A302" s="17" t="s">
        <v>653</v>
      </c>
      <c r="B302" s="77" t="s">
        <v>387</v>
      </c>
      <c r="C302" s="77">
        <v>16399</v>
      </c>
    </row>
    <row r="303" spans="1:3">
      <c r="A303" s="17" t="s">
        <v>654</v>
      </c>
      <c r="B303" s="77" t="s">
        <v>387</v>
      </c>
      <c r="C303" s="77">
        <v>6630</v>
      </c>
    </row>
    <row r="304" spans="1:3">
      <c r="A304" s="17" t="s">
        <v>769</v>
      </c>
      <c r="B304" s="77" t="s">
        <v>392</v>
      </c>
      <c r="C304" s="77">
        <v>11560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08740-35DA-B641-AC8D-76A3F1FB0678}">
  <sheetPr>
    <tabColor theme="8" tint="0.79998168889431442"/>
  </sheetPr>
  <dimension ref="A1:G100"/>
  <sheetViews>
    <sheetView showGridLines="0" tabSelected="1" workbookViewId="0">
      <selection activeCell="C5" sqref="C5"/>
    </sheetView>
  </sheetViews>
  <sheetFormatPr baseColWidth="10" defaultColWidth="12.109375" defaultRowHeight="14.4"/>
  <cols>
    <col min="1" max="1" width="13.77734375" style="1" customWidth="1"/>
    <col min="2" max="2" width="20.6640625" style="1" customWidth="1"/>
    <col min="3" max="3" width="25.77734375" style="1" customWidth="1"/>
    <col min="4" max="4" width="20.77734375" style="1" customWidth="1"/>
    <col min="5" max="5" width="5.77734375" style="1" customWidth="1"/>
    <col min="6" max="6" width="10.77734375" style="1" customWidth="1"/>
    <col min="7" max="7" width="20.77734375" style="1" customWidth="1"/>
    <col min="8" max="8" width="10.77734375" style="1" customWidth="1"/>
    <col min="9" max="16384" width="12.109375" style="1"/>
  </cols>
  <sheetData>
    <row r="1" spans="1:7">
      <c r="A1" s="33" t="s">
        <v>132</v>
      </c>
      <c r="B1" s="33"/>
      <c r="C1" s="33"/>
      <c r="D1" s="33"/>
      <c r="E1" s="38"/>
      <c r="F1" s="38"/>
      <c r="G1" s="38"/>
    </row>
    <row r="2" spans="1:7">
      <c r="A2" s="31" t="s">
        <v>891</v>
      </c>
      <c r="B2" s="34"/>
      <c r="C2" s="34"/>
      <c r="D2" s="34"/>
      <c r="E2" s="37"/>
      <c r="F2" s="37"/>
      <c r="G2" s="37"/>
    </row>
    <row r="4" spans="1:7" ht="28.8">
      <c r="A4" s="54" t="s">
        <v>792</v>
      </c>
      <c r="B4" s="54" t="s">
        <v>791</v>
      </c>
      <c r="C4" s="54" t="s">
        <v>889</v>
      </c>
      <c r="D4" s="57" t="s">
        <v>258</v>
      </c>
      <c r="F4" s="1" t="s">
        <v>890</v>
      </c>
      <c r="G4" s="1" t="s">
        <v>791</v>
      </c>
    </row>
    <row r="5" spans="1:7">
      <c r="A5" s="18" t="s">
        <v>793</v>
      </c>
      <c r="B5" s="18" t="s">
        <v>789</v>
      </c>
      <c r="C5" s="20"/>
      <c r="D5" s="18" t="str">
        <f>_xlfn.XLOOKUP(Factures_Chantiers[[#This Row],[Étape]],Etapes_Chantiers[Étape],Etapes_Chantiers[N°])&amp;" - "&amp;Factures_Chantiers[[#This Row],[Étape]]</f>
        <v>2 - Facturé</v>
      </c>
      <c r="F5" s="56">
        <v>0</v>
      </c>
      <c r="G5" s="1" t="s">
        <v>787</v>
      </c>
    </row>
    <row r="6" spans="1:7">
      <c r="A6" s="18" t="s">
        <v>794</v>
      </c>
      <c r="B6" s="18" t="s">
        <v>790</v>
      </c>
      <c r="C6" s="20"/>
      <c r="D6" s="18" t="str">
        <f>_xlfn.XLOOKUP(Factures_Chantiers[[#This Row],[Étape]],Etapes_Chantiers[Étape],Etapes_Chantiers[N°])&amp;" - "&amp;Factures_Chantiers[[#This Row],[Étape]]</f>
        <v>3 - Payé</v>
      </c>
      <c r="F6" s="56">
        <v>1</v>
      </c>
      <c r="G6" s="1" t="s">
        <v>788</v>
      </c>
    </row>
    <row r="7" spans="1:7">
      <c r="A7" s="18" t="s">
        <v>795</v>
      </c>
      <c r="B7" s="18" t="s">
        <v>789</v>
      </c>
      <c r="C7" s="20"/>
      <c r="D7" s="18" t="str">
        <f>_xlfn.XLOOKUP(Factures_Chantiers[[#This Row],[Étape]],Etapes_Chantiers[Étape],Etapes_Chantiers[N°])&amp;" - "&amp;Factures_Chantiers[[#This Row],[Étape]]</f>
        <v>2 - Facturé</v>
      </c>
      <c r="F7" s="56">
        <v>2</v>
      </c>
      <c r="G7" s="1" t="s">
        <v>789</v>
      </c>
    </row>
    <row r="8" spans="1:7">
      <c r="A8" s="18" t="s">
        <v>796</v>
      </c>
      <c r="B8" s="18" t="s">
        <v>787</v>
      </c>
      <c r="C8" s="20"/>
      <c r="D8" s="18" t="str">
        <f>_xlfn.XLOOKUP(Factures_Chantiers[[#This Row],[Étape]],Etapes_Chantiers[Étape],Etapes_Chantiers[N°])&amp;" - "&amp;Factures_Chantiers[[#This Row],[Étape]]</f>
        <v>0 - Non commencé</v>
      </c>
      <c r="F8" s="56">
        <v>3</v>
      </c>
      <c r="G8" s="1" t="s">
        <v>790</v>
      </c>
    </row>
    <row r="9" spans="1:7">
      <c r="A9" s="18" t="s">
        <v>797</v>
      </c>
      <c r="B9" s="18" t="s">
        <v>787</v>
      </c>
      <c r="C9" s="20"/>
      <c r="D9" s="18" t="str">
        <f>_xlfn.XLOOKUP(Factures_Chantiers[[#This Row],[Étape]],Etapes_Chantiers[Étape],Etapes_Chantiers[N°])&amp;" - "&amp;Factures_Chantiers[[#This Row],[Étape]]</f>
        <v>0 - Non commencé</v>
      </c>
    </row>
    <row r="10" spans="1:7">
      <c r="A10" s="18" t="s">
        <v>798</v>
      </c>
      <c r="B10" s="18" t="s">
        <v>789</v>
      </c>
      <c r="C10" s="20"/>
      <c r="D10" s="18" t="str">
        <f>_xlfn.XLOOKUP(Factures_Chantiers[[#This Row],[Étape]],Etapes_Chantiers[Étape],Etapes_Chantiers[N°])&amp;" - "&amp;Factures_Chantiers[[#This Row],[Étape]]</f>
        <v>2 - Facturé</v>
      </c>
    </row>
    <row r="11" spans="1:7">
      <c r="A11" s="18" t="s">
        <v>799</v>
      </c>
      <c r="B11" s="18" t="s">
        <v>790</v>
      </c>
      <c r="C11" s="20"/>
      <c r="D11" s="18" t="str">
        <f>_xlfn.XLOOKUP(Factures_Chantiers[[#This Row],[Étape]],Etapes_Chantiers[Étape],Etapes_Chantiers[N°])&amp;" - "&amp;Factures_Chantiers[[#This Row],[Étape]]</f>
        <v>3 - Payé</v>
      </c>
    </row>
    <row r="12" spans="1:7">
      <c r="A12" s="18" t="s">
        <v>800</v>
      </c>
      <c r="B12" s="18" t="s">
        <v>789</v>
      </c>
      <c r="C12" s="20"/>
      <c r="D12" s="18" t="str">
        <f>_xlfn.XLOOKUP(Factures_Chantiers[[#This Row],[Étape]],Etapes_Chantiers[Étape],Etapes_Chantiers[N°])&amp;" - "&amp;Factures_Chantiers[[#This Row],[Étape]]</f>
        <v>2 - Facturé</v>
      </c>
    </row>
    <row r="13" spans="1:7">
      <c r="A13" s="18" t="s">
        <v>801</v>
      </c>
      <c r="B13" s="18" t="s">
        <v>788</v>
      </c>
      <c r="C13" s="20"/>
      <c r="D13" s="18" t="str">
        <f>_xlfn.XLOOKUP(Factures_Chantiers[[#This Row],[Étape]],Etapes_Chantiers[Étape],Etapes_Chantiers[N°])&amp;" - "&amp;Factures_Chantiers[[#This Row],[Étape]]</f>
        <v>1 - En cours</v>
      </c>
    </row>
    <row r="14" spans="1:7">
      <c r="A14" s="18" t="s">
        <v>802</v>
      </c>
      <c r="B14" s="18" t="s">
        <v>788</v>
      </c>
      <c r="C14" s="20"/>
      <c r="D14" s="18" t="str">
        <f>_xlfn.XLOOKUP(Factures_Chantiers[[#This Row],[Étape]],Etapes_Chantiers[Étape],Etapes_Chantiers[N°])&amp;" - "&amp;Factures_Chantiers[[#This Row],[Étape]]</f>
        <v>1 - En cours</v>
      </c>
    </row>
    <row r="15" spans="1:7">
      <c r="A15" s="18" t="s">
        <v>803</v>
      </c>
      <c r="B15" s="18" t="s">
        <v>790</v>
      </c>
      <c r="C15" s="20"/>
      <c r="D15" s="18" t="str">
        <f>_xlfn.XLOOKUP(Factures_Chantiers[[#This Row],[Étape]],Etapes_Chantiers[Étape],Etapes_Chantiers[N°])&amp;" - "&amp;Factures_Chantiers[[#This Row],[Étape]]</f>
        <v>3 - Payé</v>
      </c>
    </row>
    <row r="16" spans="1:7">
      <c r="A16" s="18" t="s">
        <v>804</v>
      </c>
      <c r="B16" s="18" t="s">
        <v>788</v>
      </c>
      <c r="C16" s="20"/>
      <c r="D16" s="18" t="str">
        <f>_xlfn.XLOOKUP(Factures_Chantiers[[#This Row],[Étape]],Etapes_Chantiers[Étape],Etapes_Chantiers[N°])&amp;" - "&amp;Factures_Chantiers[[#This Row],[Étape]]</f>
        <v>1 - En cours</v>
      </c>
    </row>
    <row r="17" spans="1:4">
      <c r="A17" s="18" t="s">
        <v>805</v>
      </c>
      <c r="B17" s="18" t="s">
        <v>788</v>
      </c>
      <c r="C17" s="20"/>
      <c r="D17" s="18" t="str">
        <f>_xlfn.XLOOKUP(Factures_Chantiers[[#This Row],[Étape]],Etapes_Chantiers[Étape],Etapes_Chantiers[N°])&amp;" - "&amp;Factures_Chantiers[[#This Row],[Étape]]</f>
        <v>1 - En cours</v>
      </c>
    </row>
    <row r="18" spans="1:4">
      <c r="A18" s="18" t="s">
        <v>806</v>
      </c>
      <c r="B18" s="18" t="s">
        <v>788</v>
      </c>
      <c r="C18" s="20"/>
      <c r="D18" s="18" t="str">
        <f>_xlfn.XLOOKUP(Factures_Chantiers[[#This Row],[Étape]],Etapes_Chantiers[Étape],Etapes_Chantiers[N°])&amp;" - "&amp;Factures_Chantiers[[#This Row],[Étape]]</f>
        <v>1 - En cours</v>
      </c>
    </row>
    <row r="19" spans="1:4">
      <c r="A19" s="18" t="s">
        <v>807</v>
      </c>
      <c r="B19" s="18" t="s">
        <v>789</v>
      </c>
      <c r="C19" s="20"/>
      <c r="D19" s="18" t="str">
        <f>_xlfn.XLOOKUP(Factures_Chantiers[[#This Row],[Étape]],Etapes_Chantiers[Étape],Etapes_Chantiers[N°])&amp;" - "&amp;Factures_Chantiers[[#This Row],[Étape]]</f>
        <v>2 - Facturé</v>
      </c>
    </row>
    <row r="20" spans="1:4">
      <c r="A20" s="18" t="s">
        <v>808</v>
      </c>
      <c r="B20" s="18" t="s">
        <v>790</v>
      </c>
      <c r="C20" s="20"/>
      <c r="D20" s="18" t="str">
        <f>_xlfn.XLOOKUP(Factures_Chantiers[[#This Row],[Étape]],Etapes_Chantiers[Étape],Etapes_Chantiers[N°])&amp;" - "&amp;Factures_Chantiers[[#This Row],[Étape]]</f>
        <v>3 - Payé</v>
      </c>
    </row>
    <row r="21" spans="1:4">
      <c r="A21" s="18" t="s">
        <v>809</v>
      </c>
      <c r="B21" s="18" t="s">
        <v>789</v>
      </c>
      <c r="C21" s="20"/>
      <c r="D21" s="18" t="str">
        <f>_xlfn.XLOOKUP(Factures_Chantiers[[#This Row],[Étape]],Etapes_Chantiers[Étape],Etapes_Chantiers[N°])&amp;" - "&amp;Factures_Chantiers[[#This Row],[Étape]]</f>
        <v>2 - Facturé</v>
      </c>
    </row>
    <row r="22" spans="1:4">
      <c r="A22" s="18" t="s">
        <v>810</v>
      </c>
      <c r="B22" s="18" t="s">
        <v>788</v>
      </c>
      <c r="C22" s="20"/>
      <c r="D22" s="18" t="str">
        <f>_xlfn.XLOOKUP(Factures_Chantiers[[#This Row],[Étape]],Etapes_Chantiers[Étape],Etapes_Chantiers[N°])&amp;" - "&amp;Factures_Chantiers[[#This Row],[Étape]]</f>
        <v>1 - En cours</v>
      </c>
    </row>
    <row r="23" spans="1:4">
      <c r="A23" s="18" t="s">
        <v>811</v>
      </c>
      <c r="B23" s="18" t="s">
        <v>790</v>
      </c>
      <c r="C23" s="20"/>
      <c r="D23" s="18" t="str">
        <f>_xlfn.XLOOKUP(Factures_Chantiers[[#This Row],[Étape]],Etapes_Chantiers[Étape],Etapes_Chantiers[N°])&amp;" - "&amp;Factures_Chantiers[[#This Row],[Étape]]</f>
        <v>3 - Payé</v>
      </c>
    </row>
    <row r="24" spans="1:4">
      <c r="A24" s="18" t="s">
        <v>812</v>
      </c>
      <c r="B24" s="18" t="s">
        <v>787</v>
      </c>
      <c r="C24" s="20"/>
      <c r="D24" s="18" t="str">
        <f>_xlfn.XLOOKUP(Factures_Chantiers[[#This Row],[Étape]],Etapes_Chantiers[Étape],Etapes_Chantiers[N°])&amp;" - "&amp;Factures_Chantiers[[#This Row],[Étape]]</f>
        <v>0 - Non commencé</v>
      </c>
    </row>
    <row r="25" spans="1:4">
      <c r="A25" s="18" t="s">
        <v>813</v>
      </c>
      <c r="B25" s="18" t="s">
        <v>787</v>
      </c>
      <c r="C25" s="20"/>
      <c r="D25" s="18" t="str">
        <f>_xlfn.XLOOKUP(Factures_Chantiers[[#This Row],[Étape]],Etapes_Chantiers[Étape],Etapes_Chantiers[N°])&amp;" - "&amp;Factures_Chantiers[[#This Row],[Étape]]</f>
        <v>0 - Non commencé</v>
      </c>
    </row>
    <row r="26" spans="1:4">
      <c r="A26" s="18" t="s">
        <v>814</v>
      </c>
      <c r="B26" s="18" t="s">
        <v>789</v>
      </c>
      <c r="C26" s="20"/>
      <c r="D26" s="18" t="str">
        <f>_xlfn.XLOOKUP(Factures_Chantiers[[#This Row],[Étape]],Etapes_Chantiers[Étape],Etapes_Chantiers[N°])&amp;" - "&amp;Factures_Chantiers[[#This Row],[Étape]]</f>
        <v>2 - Facturé</v>
      </c>
    </row>
    <row r="27" spans="1:4">
      <c r="A27" s="18" t="s">
        <v>815</v>
      </c>
      <c r="B27" s="18" t="s">
        <v>788</v>
      </c>
      <c r="C27" s="20"/>
      <c r="D27" s="18" t="str">
        <f>_xlfn.XLOOKUP(Factures_Chantiers[[#This Row],[Étape]],Etapes_Chantiers[Étape],Etapes_Chantiers[N°])&amp;" - "&amp;Factures_Chantiers[[#This Row],[Étape]]</f>
        <v>1 - En cours</v>
      </c>
    </row>
    <row r="28" spans="1:4">
      <c r="A28" s="18" t="s">
        <v>816</v>
      </c>
      <c r="B28" s="18" t="s">
        <v>788</v>
      </c>
      <c r="C28" s="20"/>
      <c r="D28" s="18" t="str">
        <f>_xlfn.XLOOKUP(Factures_Chantiers[[#This Row],[Étape]],Etapes_Chantiers[Étape],Etapes_Chantiers[N°])&amp;" - "&amp;Factures_Chantiers[[#This Row],[Étape]]</f>
        <v>1 - En cours</v>
      </c>
    </row>
    <row r="29" spans="1:4">
      <c r="A29" s="18" t="s">
        <v>817</v>
      </c>
      <c r="B29" s="18" t="s">
        <v>790</v>
      </c>
      <c r="C29" s="20"/>
      <c r="D29" s="18" t="str">
        <f>_xlfn.XLOOKUP(Factures_Chantiers[[#This Row],[Étape]],Etapes_Chantiers[Étape],Etapes_Chantiers[N°])&amp;" - "&amp;Factures_Chantiers[[#This Row],[Étape]]</f>
        <v>3 - Payé</v>
      </c>
    </row>
    <row r="30" spans="1:4">
      <c r="A30" s="18" t="s">
        <v>818</v>
      </c>
      <c r="B30" s="18" t="s">
        <v>789</v>
      </c>
      <c r="C30" s="20"/>
      <c r="D30" s="18" t="str">
        <f>_xlfn.XLOOKUP(Factures_Chantiers[[#This Row],[Étape]],Etapes_Chantiers[Étape],Etapes_Chantiers[N°])&amp;" - "&amp;Factures_Chantiers[[#This Row],[Étape]]</f>
        <v>2 - Facturé</v>
      </c>
    </row>
    <row r="31" spans="1:4">
      <c r="A31" s="18" t="s">
        <v>819</v>
      </c>
      <c r="B31" s="18" t="s">
        <v>787</v>
      </c>
      <c r="C31" s="20"/>
      <c r="D31" s="18" t="str">
        <f>_xlfn.XLOOKUP(Factures_Chantiers[[#This Row],[Étape]],Etapes_Chantiers[Étape],Etapes_Chantiers[N°])&amp;" - "&amp;Factures_Chantiers[[#This Row],[Étape]]</f>
        <v>0 - Non commencé</v>
      </c>
    </row>
    <row r="32" spans="1:4">
      <c r="A32" s="18" t="s">
        <v>820</v>
      </c>
      <c r="B32" s="18" t="s">
        <v>787</v>
      </c>
      <c r="C32" s="20"/>
      <c r="D32" s="18" t="str">
        <f>_xlfn.XLOOKUP(Factures_Chantiers[[#This Row],[Étape]],Etapes_Chantiers[Étape],Etapes_Chantiers[N°])&amp;" - "&amp;Factures_Chantiers[[#This Row],[Étape]]</f>
        <v>0 - Non commencé</v>
      </c>
    </row>
    <row r="33" spans="1:4">
      <c r="A33" s="18" t="s">
        <v>821</v>
      </c>
      <c r="B33" s="18" t="s">
        <v>790</v>
      </c>
      <c r="C33" s="20"/>
      <c r="D33" s="18" t="str">
        <f>_xlfn.XLOOKUP(Factures_Chantiers[[#This Row],[Étape]],Etapes_Chantiers[Étape],Etapes_Chantiers[N°])&amp;" - "&amp;Factures_Chantiers[[#This Row],[Étape]]</f>
        <v>3 - Payé</v>
      </c>
    </row>
    <row r="34" spans="1:4">
      <c r="A34" s="18" t="s">
        <v>822</v>
      </c>
      <c r="B34" s="18" t="s">
        <v>789</v>
      </c>
      <c r="C34" s="20"/>
      <c r="D34" s="18" t="str">
        <f>_xlfn.XLOOKUP(Factures_Chantiers[[#This Row],[Étape]],Etapes_Chantiers[Étape],Etapes_Chantiers[N°])&amp;" - "&amp;Factures_Chantiers[[#This Row],[Étape]]</f>
        <v>2 - Facturé</v>
      </c>
    </row>
    <row r="35" spans="1:4">
      <c r="A35" s="18" t="s">
        <v>823</v>
      </c>
      <c r="B35" s="18" t="s">
        <v>787</v>
      </c>
      <c r="C35" s="20"/>
      <c r="D35" s="18" t="str">
        <f>_xlfn.XLOOKUP(Factures_Chantiers[[#This Row],[Étape]],Etapes_Chantiers[Étape],Etapes_Chantiers[N°])&amp;" - "&amp;Factures_Chantiers[[#This Row],[Étape]]</f>
        <v>0 - Non commencé</v>
      </c>
    </row>
    <row r="36" spans="1:4">
      <c r="A36" s="18" t="s">
        <v>824</v>
      </c>
      <c r="B36" s="18" t="s">
        <v>790</v>
      </c>
      <c r="C36" s="20"/>
      <c r="D36" s="18" t="str">
        <f>_xlfn.XLOOKUP(Factures_Chantiers[[#This Row],[Étape]],Etapes_Chantiers[Étape],Etapes_Chantiers[N°])&amp;" - "&amp;Factures_Chantiers[[#This Row],[Étape]]</f>
        <v>3 - Payé</v>
      </c>
    </row>
    <row r="37" spans="1:4">
      <c r="A37" s="18" t="s">
        <v>825</v>
      </c>
      <c r="B37" s="18" t="s">
        <v>790</v>
      </c>
      <c r="C37" s="20"/>
      <c r="D37" s="18" t="str">
        <f>_xlfn.XLOOKUP(Factures_Chantiers[[#This Row],[Étape]],Etapes_Chantiers[Étape],Etapes_Chantiers[N°])&amp;" - "&amp;Factures_Chantiers[[#This Row],[Étape]]</f>
        <v>3 - Payé</v>
      </c>
    </row>
    <row r="38" spans="1:4">
      <c r="A38" s="18" t="s">
        <v>826</v>
      </c>
      <c r="B38" s="18" t="s">
        <v>787</v>
      </c>
      <c r="C38" s="20"/>
      <c r="D38" s="18" t="str">
        <f>_xlfn.XLOOKUP(Factures_Chantiers[[#This Row],[Étape]],Etapes_Chantiers[Étape],Etapes_Chantiers[N°])&amp;" - "&amp;Factures_Chantiers[[#This Row],[Étape]]</f>
        <v>0 - Non commencé</v>
      </c>
    </row>
    <row r="39" spans="1:4">
      <c r="A39" s="18" t="s">
        <v>827</v>
      </c>
      <c r="B39" s="18" t="s">
        <v>788</v>
      </c>
      <c r="C39" s="20"/>
      <c r="D39" s="18" t="str">
        <f>_xlfn.XLOOKUP(Factures_Chantiers[[#This Row],[Étape]],Etapes_Chantiers[Étape],Etapes_Chantiers[N°])&amp;" - "&amp;Factures_Chantiers[[#This Row],[Étape]]</f>
        <v>1 - En cours</v>
      </c>
    </row>
    <row r="40" spans="1:4">
      <c r="A40" s="18" t="s">
        <v>828</v>
      </c>
      <c r="B40" s="18" t="s">
        <v>787</v>
      </c>
      <c r="C40" s="20"/>
      <c r="D40" s="18" t="str">
        <f>_xlfn.XLOOKUP(Factures_Chantiers[[#This Row],[Étape]],Etapes_Chantiers[Étape],Etapes_Chantiers[N°])&amp;" - "&amp;Factures_Chantiers[[#This Row],[Étape]]</f>
        <v>0 - Non commencé</v>
      </c>
    </row>
    <row r="41" spans="1:4">
      <c r="A41" s="18" t="s">
        <v>829</v>
      </c>
      <c r="B41" s="18" t="s">
        <v>789</v>
      </c>
      <c r="C41" s="20"/>
      <c r="D41" s="18" t="str">
        <f>_xlfn.XLOOKUP(Factures_Chantiers[[#This Row],[Étape]],Etapes_Chantiers[Étape],Etapes_Chantiers[N°])&amp;" - "&amp;Factures_Chantiers[[#This Row],[Étape]]</f>
        <v>2 - Facturé</v>
      </c>
    </row>
    <row r="42" spans="1:4">
      <c r="A42" s="18" t="s">
        <v>830</v>
      </c>
      <c r="B42" s="18" t="s">
        <v>788</v>
      </c>
      <c r="C42" s="20"/>
      <c r="D42" s="18" t="str">
        <f>_xlfn.XLOOKUP(Factures_Chantiers[[#This Row],[Étape]],Etapes_Chantiers[Étape],Etapes_Chantiers[N°])&amp;" - "&amp;Factures_Chantiers[[#This Row],[Étape]]</f>
        <v>1 - En cours</v>
      </c>
    </row>
    <row r="43" spans="1:4">
      <c r="A43" s="18" t="s">
        <v>831</v>
      </c>
      <c r="B43" s="18" t="s">
        <v>787</v>
      </c>
      <c r="C43" s="20"/>
      <c r="D43" s="18" t="str">
        <f>_xlfn.XLOOKUP(Factures_Chantiers[[#This Row],[Étape]],Etapes_Chantiers[Étape],Etapes_Chantiers[N°])&amp;" - "&amp;Factures_Chantiers[[#This Row],[Étape]]</f>
        <v>0 - Non commencé</v>
      </c>
    </row>
    <row r="44" spans="1:4">
      <c r="A44" s="18" t="s">
        <v>832</v>
      </c>
      <c r="B44" s="18" t="s">
        <v>789</v>
      </c>
      <c r="C44" s="20"/>
      <c r="D44" s="18" t="str">
        <f>_xlfn.XLOOKUP(Factures_Chantiers[[#This Row],[Étape]],Etapes_Chantiers[Étape],Etapes_Chantiers[N°])&amp;" - "&amp;Factures_Chantiers[[#This Row],[Étape]]</f>
        <v>2 - Facturé</v>
      </c>
    </row>
    <row r="45" spans="1:4">
      <c r="A45" s="18" t="s">
        <v>833</v>
      </c>
      <c r="B45" s="18" t="s">
        <v>788</v>
      </c>
      <c r="C45" s="20"/>
      <c r="D45" s="18" t="str">
        <f>_xlfn.XLOOKUP(Factures_Chantiers[[#This Row],[Étape]],Etapes_Chantiers[Étape],Etapes_Chantiers[N°])&amp;" - "&amp;Factures_Chantiers[[#This Row],[Étape]]</f>
        <v>1 - En cours</v>
      </c>
    </row>
    <row r="46" spans="1:4">
      <c r="A46" s="18" t="s">
        <v>834</v>
      </c>
      <c r="B46" s="18" t="s">
        <v>789</v>
      </c>
      <c r="C46" s="20"/>
      <c r="D46" s="18" t="str">
        <f>_xlfn.XLOOKUP(Factures_Chantiers[[#This Row],[Étape]],Etapes_Chantiers[Étape],Etapes_Chantiers[N°])&amp;" - "&amp;Factures_Chantiers[[#This Row],[Étape]]</f>
        <v>2 - Facturé</v>
      </c>
    </row>
    <row r="47" spans="1:4">
      <c r="A47" s="18" t="s">
        <v>835</v>
      </c>
      <c r="B47" s="18" t="s">
        <v>790</v>
      </c>
      <c r="C47" s="20"/>
      <c r="D47" s="18" t="str">
        <f>_xlfn.XLOOKUP(Factures_Chantiers[[#This Row],[Étape]],Etapes_Chantiers[Étape],Etapes_Chantiers[N°])&amp;" - "&amp;Factures_Chantiers[[#This Row],[Étape]]</f>
        <v>3 - Payé</v>
      </c>
    </row>
    <row r="48" spans="1:4">
      <c r="A48" s="18" t="s">
        <v>836</v>
      </c>
      <c r="B48" s="18" t="s">
        <v>787</v>
      </c>
      <c r="C48" s="20"/>
      <c r="D48" s="18" t="str">
        <f>_xlfn.XLOOKUP(Factures_Chantiers[[#This Row],[Étape]],Etapes_Chantiers[Étape],Etapes_Chantiers[N°])&amp;" - "&amp;Factures_Chantiers[[#This Row],[Étape]]</f>
        <v>0 - Non commencé</v>
      </c>
    </row>
    <row r="49" spans="1:4">
      <c r="A49" s="18" t="s">
        <v>837</v>
      </c>
      <c r="B49" s="18" t="s">
        <v>787</v>
      </c>
      <c r="C49" s="20"/>
      <c r="D49" s="18" t="str">
        <f>_xlfn.XLOOKUP(Factures_Chantiers[[#This Row],[Étape]],Etapes_Chantiers[Étape],Etapes_Chantiers[N°])&amp;" - "&amp;Factures_Chantiers[[#This Row],[Étape]]</f>
        <v>0 - Non commencé</v>
      </c>
    </row>
    <row r="50" spans="1:4">
      <c r="A50" s="18" t="s">
        <v>838</v>
      </c>
      <c r="B50" s="18" t="s">
        <v>790</v>
      </c>
      <c r="C50" s="20"/>
      <c r="D50" s="18" t="str">
        <f>_xlfn.XLOOKUP(Factures_Chantiers[[#This Row],[Étape]],Etapes_Chantiers[Étape],Etapes_Chantiers[N°])&amp;" - "&amp;Factures_Chantiers[[#This Row],[Étape]]</f>
        <v>3 - Payé</v>
      </c>
    </row>
    <row r="51" spans="1:4">
      <c r="A51" s="18" t="s">
        <v>839</v>
      </c>
      <c r="B51" s="18" t="s">
        <v>787</v>
      </c>
      <c r="C51" s="20"/>
      <c r="D51" s="18" t="str">
        <f>_xlfn.XLOOKUP(Factures_Chantiers[[#This Row],[Étape]],Etapes_Chantiers[Étape],Etapes_Chantiers[N°])&amp;" - "&amp;Factures_Chantiers[[#This Row],[Étape]]</f>
        <v>0 - Non commencé</v>
      </c>
    </row>
    <row r="52" spans="1:4">
      <c r="A52" s="18" t="s">
        <v>840</v>
      </c>
      <c r="B52" s="18" t="s">
        <v>790</v>
      </c>
      <c r="C52" s="20"/>
      <c r="D52" s="18" t="str">
        <f>_xlfn.XLOOKUP(Factures_Chantiers[[#This Row],[Étape]],Etapes_Chantiers[Étape],Etapes_Chantiers[N°])&amp;" - "&amp;Factures_Chantiers[[#This Row],[Étape]]</f>
        <v>3 - Payé</v>
      </c>
    </row>
    <row r="53" spans="1:4">
      <c r="A53" s="18" t="s">
        <v>841</v>
      </c>
      <c r="B53" s="18" t="s">
        <v>789</v>
      </c>
      <c r="C53" s="20"/>
      <c r="D53" s="18" t="str">
        <f>_xlfn.XLOOKUP(Factures_Chantiers[[#This Row],[Étape]],Etapes_Chantiers[Étape],Etapes_Chantiers[N°])&amp;" - "&amp;Factures_Chantiers[[#This Row],[Étape]]</f>
        <v>2 - Facturé</v>
      </c>
    </row>
    <row r="54" spans="1:4">
      <c r="A54" s="18" t="s">
        <v>842</v>
      </c>
      <c r="B54" s="18" t="s">
        <v>790</v>
      </c>
      <c r="C54" s="20"/>
      <c r="D54" s="18" t="str">
        <f>_xlfn.XLOOKUP(Factures_Chantiers[[#This Row],[Étape]],Etapes_Chantiers[Étape],Etapes_Chantiers[N°])&amp;" - "&amp;Factures_Chantiers[[#This Row],[Étape]]</f>
        <v>3 - Payé</v>
      </c>
    </row>
    <row r="55" spans="1:4">
      <c r="A55" s="18" t="s">
        <v>843</v>
      </c>
      <c r="B55" s="18" t="s">
        <v>789</v>
      </c>
      <c r="C55" s="20"/>
      <c r="D55" s="18" t="str">
        <f>_xlfn.XLOOKUP(Factures_Chantiers[[#This Row],[Étape]],Etapes_Chantiers[Étape],Etapes_Chantiers[N°])&amp;" - "&amp;Factures_Chantiers[[#This Row],[Étape]]</f>
        <v>2 - Facturé</v>
      </c>
    </row>
    <row r="56" spans="1:4">
      <c r="A56" s="18" t="s">
        <v>844</v>
      </c>
      <c r="B56" s="18" t="s">
        <v>787</v>
      </c>
      <c r="C56" s="20"/>
      <c r="D56" s="18" t="str">
        <f>_xlfn.XLOOKUP(Factures_Chantiers[[#This Row],[Étape]],Etapes_Chantiers[Étape],Etapes_Chantiers[N°])&amp;" - "&amp;Factures_Chantiers[[#This Row],[Étape]]</f>
        <v>0 - Non commencé</v>
      </c>
    </row>
    <row r="57" spans="1:4">
      <c r="A57" s="18" t="s">
        <v>845</v>
      </c>
      <c r="B57" s="18" t="s">
        <v>787</v>
      </c>
      <c r="C57" s="20"/>
      <c r="D57" s="18" t="str">
        <f>_xlfn.XLOOKUP(Factures_Chantiers[[#This Row],[Étape]],Etapes_Chantiers[Étape],Etapes_Chantiers[N°])&amp;" - "&amp;Factures_Chantiers[[#This Row],[Étape]]</f>
        <v>0 - Non commencé</v>
      </c>
    </row>
    <row r="58" spans="1:4">
      <c r="A58" s="18" t="s">
        <v>846</v>
      </c>
      <c r="B58" s="18" t="s">
        <v>789</v>
      </c>
      <c r="C58" s="20"/>
      <c r="D58" s="18" t="str">
        <f>_xlfn.XLOOKUP(Factures_Chantiers[[#This Row],[Étape]],Etapes_Chantiers[Étape],Etapes_Chantiers[N°])&amp;" - "&amp;Factures_Chantiers[[#This Row],[Étape]]</f>
        <v>2 - Facturé</v>
      </c>
    </row>
    <row r="59" spans="1:4">
      <c r="A59" s="18" t="s">
        <v>847</v>
      </c>
      <c r="B59" s="18" t="s">
        <v>789</v>
      </c>
      <c r="C59" s="20"/>
      <c r="D59" s="18" t="str">
        <f>_xlfn.XLOOKUP(Factures_Chantiers[[#This Row],[Étape]],Etapes_Chantiers[Étape],Etapes_Chantiers[N°])&amp;" - "&amp;Factures_Chantiers[[#This Row],[Étape]]</f>
        <v>2 - Facturé</v>
      </c>
    </row>
    <row r="60" spans="1:4">
      <c r="A60" s="18" t="s">
        <v>848</v>
      </c>
      <c r="B60" s="18" t="s">
        <v>790</v>
      </c>
      <c r="C60" s="20"/>
      <c r="D60" s="18" t="str">
        <f>_xlfn.XLOOKUP(Factures_Chantiers[[#This Row],[Étape]],Etapes_Chantiers[Étape],Etapes_Chantiers[N°])&amp;" - "&amp;Factures_Chantiers[[#This Row],[Étape]]</f>
        <v>3 - Payé</v>
      </c>
    </row>
    <row r="61" spans="1:4">
      <c r="A61" s="18" t="s">
        <v>849</v>
      </c>
      <c r="B61" s="18" t="s">
        <v>787</v>
      </c>
      <c r="C61" s="20"/>
      <c r="D61" s="18" t="str">
        <f>_xlfn.XLOOKUP(Factures_Chantiers[[#This Row],[Étape]],Etapes_Chantiers[Étape],Etapes_Chantiers[N°])&amp;" - "&amp;Factures_Chantiers[[#This Row],[Étape]]</f>
        <v>0 - Non commencé</v>
      </c>
    </row>
    <row r="62" spans="1:4">
      <c r="A62" s="18" t="s">
        <v>850</v>
      </c>
      <c r="B62" s="18" t="s">
        <v>788</v>
      </c>
      <c r="C62" s="20"/>
      <c r="D62" s="18" t="str">
        <f>_xlfn.XLOOKUP(Factures_Chantiers[[#This Row],[Étape]],Etapes_Chantiers[Étape],Etapes_Chantiers[N°])&amp;" - "&amp;Factures_Chantiers[[#This Row],[Étape]]</f>
        <v>1 - En cours</v>
      </c>
    </row>
    <row r="63" spans="1:4">
      <c r="A63" s="18" t="s">
        <v>851</v>
      </c>
      <c r="B63" s="18" t="s">
        <v>788</v>
      </c>
      <c r="C63" s="20"/>
      <c r="D63" s="18" t="str">
        <f>_xlfn.XLOOKUP(Factures_Chantiers[[#This Row],[Étape]],Etapes_Chantiers[Étape],Etapes_Chantiers[N°])&amp;" - "&amp;Factures_Chantiers[[#This Row],[Étape]]</f>
        <v>1 - En cours</v>
      </c>
    </row>
    <row r="64" spans="1:4">
      <c r="A64" s="18" t="s">
        <v>852</v>
      </c>
      <c r="B64" s="18" t="s">
        <v>790</v>
      </c>
      <c r="C64" s="20"/>
      <c r="D64" s="18" t="str">
        <f>_xlfn.XLOOKUP(Factures_Chantiers[[#This Row],[Étape]],Etapes_Chantiers[Étape],Etapes_Chantiers[N°])&amp;" - "&amp;Factures_Chantiers[[#This Row],[Étape]]</f>
        <v>3 - Payé</v>
      </c>
    </row>
    <row r="65" spans="1:4">
      <c r="A65" s="18" t="s">
        <v>853</v>
      </c>
      <c r="B65" s="18" t="s">
        <v>790</v>
      </c>
      <c r="C65" s="20"/>
      <c r="D65" s="18" t="str">
        <f>_xlfn.XLOOKUP(Factures_Chantiers[[#This Row],[Étape]],Etapes_Chantiers[Étape],Etapes_Chantiers[N°])&amp;" - "&amp;Factures_Chantiers[[#This Row],[Étape]]</f>
        <v>3 - Payé</v>
      </c>
    </row>
    <row r="66" spans="1:4">
      <c r="A66" s="18" t="s">
        <v>854</v>
      </c>
      <c r="B66" s="18" t="s">
        <v>788</v>
      </c>
      <c r="C66" s="20"/>
      <c r="D66" s="18" t="str">
        <f>_xlfn.XLOOKUP(Factures_Chantiers[[#This Row],[Étape]],Etapes_Chantiers[Étape],Etapes_Chantiers[N°])&amp;" - "&amp;Factures_Chantiers[[#This Row],[Étape]]</f>
        <v>1 - En cours</v>
      </c>
    </row>
    <row r="67" spans="1:4">
      <c r="A67" s="18" t="s">
        <v>855</v>
      </c>
      <c r="B67" s="18" t="s">
        <v>787</v>
      </c>
      <c r="C67" s="20"/>
      <c r="D67" s="18" t="str">
        <f>_xlfn.XLOOKUP(Factures_Chantiers[[#This Row],[Étape]],Etapes_Chantiers[Étape],Etapes_Chantiers[N°])&amp;" - "&amp;Factures_Chantiers[[#This Row],[Étape]]</f>
        <v>0 - Non commencé</v>
      </c>
    </row>
    <row r="68" spans="1:4">
      <c r="A68" s="18" t="s">
        <v>856</v>
      </c>
      <c r="B68" s="18" t="s">
        <v>787</v>
      </c>
      <c r="C68" s="20"/>
      <c r="D68" s="18" t="str">
        <f>_xlfn.XLOOKUP(Factures_Chantiers[[#This Row],[Étape]],Etapes_Chantiers[Étape],Etapes_Chantiers[N°])&amp;" - "&amp;Factures_Chantiers[[#This Row],[Étape]]</f>
        <v>0 - Non commencé</v>
      </c>
    </row>
    <row r="69" spans="1:4">
      <c r="A69" s="18" t="s">
        <v>857</v>
      </c>
      <c r="B69" s="18" t="s">
        <v>789</v>
      </c>
      <c r="C69" s="20"/>
      <c r="D69" s="18" t="str">
        <f>_xlfn.XLOOKUP(Factures_Chantiers[[#This Row],[Étape]],Etapes_Chantiers[Étape],Etapes_Chantiers[N°])&amp;" - "&amp;Factures_Chantiers[[#This Row],[Étape]]</f>
        <v>2 - Facturé</v>
      </c>
    </row>
    <row r="70" spans="1:4">
      <c r="A70" s="18" t="s">
        <v>858</v>
      </c>
      <c r="B70" s="18" t="s">
        <v>788</v>
      </c>
      <c r="C70" s="20"/>
      <c r="D70" s="18" t="str">
        <f>_xlfn.XLOOKUP(Factures_Chantiers[[#This Row],[Étape]],Etapes_Chantiers[Étape],Etapes_Chantiers[N°])&amp;" - "&amp;Factures_Chantiers[[#This Row],[Étape]]</f>
        <v>1 - En cours</v>
      </c>
    </row>
    <row r="71" spans="1:4">
      <c r="A71" s="18" t="s">
        <v>859</v>
      </c>
      <c r="B71" s="18" t="s">
        <v>789</v>
      </c>
      <c r="C71" s="20"/>
      <c r="D71" s="18" t="str">
        <f>_xlfn.XLOOKUP(Factures_Chantiers[[#This Row],[Étape]],Etapes_Chantiers[Étape],Etapes_Chantiers[N°])&amp;" - "&amp;Factures_Chantiers[[#This Row],[Étape]]</f>
        <v>2 - Facturé</v>
      </c>
    </row>
    <row r="72" spans="1:4">
      <c r="A72" s="18" t="s">
        <v>860</v>
      </c>
      <c r="B72" s="18" t="s">
        <v>787</v>
      </c>
      <c r="C72" s="20"/>
      <c r="D72" s="18" t="str">
        <f>_xlfn.XLOOKUP(Factures_Chantiers[[#This Row],[Étape]],Etapes_Chantiers[Étape],Etapes_Chantiers[N°])&amp;" - "&amp;Factures_Chantiers[[#This Row],[Étape]]</f>
        <v>0 - Non commencé</v>
      </c>
    </row>
    <row r="73" spans="1:4">
      <c r="A73" s="18" t="s">
        <v>861</v>
      </c>
      <c r="B73" s="18" t="s">
        <v>790</v>
      </c>
      <c r="C73" s="20"/>
      <c r="D73" s="18" t="str">
        <f>_xlfn.XLOOKUP(Factures_Chantiers[[#This Row],[Étape]],Etapes_Chantiers[Étape],Etapes_Chantiers[N°])&amp;" - "&amp;Factures_Chantiers[[#This Row],[Étape]]</f>
        <v>3 - Payé</v>
      </c>
    </row>
    <row r="74" spans="1:4">
      <c r="A74" s="18" t="s">
        <v>862</v>
      </c>
      <c r="B74" s="18" t="s">
        <v>789</v>
      </c>
      <c r="C74" s="20"/>
      <c r="D74" s="18" t="str">
        <f>_xlfn.XLOOKUP(Factures_Chantiers[[#This Row],[Étape]],Etapes_Chantiers[Étape],Etapes_Chantiers[N°])&amp;" - "&amp;Factures_Chantiers[[#This Row],[Étape]]</f>
        <v>2 - Facturé</v>
      </c>
    </row>
    <row r="75" spans="1:4">
      <c r="A75" s="18" t="s">
        <v>863</v>
      </c>
      <c r="B75" s="18" t="s">
        <v>789</v>
      </c>
      <c r="C75" s="20"/>
      <c r="D75" s="18" t="str">
        <f>_xlfn.XLOOKUP(Factures_Chantiers[[#This Row],[Étape]],Etapes_Chantiers[Étape],Etapes_Chantiers[N°])&amp;" - "&amp;Factures_Chantiers[[#This Row],[Étape]]</f>
        <v>2 - Facturé</v>
      </c>
    </row>
    <row r="76" spans="1:4">
      <c r="A76" s="18" t="s">
        <v>864</v>
      </c>
      <c r="B76" s="18" t="s">
        <v>787</v>
      </c>
      <c r="C76" s="20"/>
      <c r="D76" s="18" t="str">
        <f>_xlfn.XLOOKUP(Factures_Chantiers[[#This Row],[Étape]],Etapes_Chantiers[Étape],Etapes_Chantiers[N°])&amp;" - "&amp;Factures_Chantiers[[#This Row],[Étape]]</f>
        <v>0 - Non commencé</v>
      </c>
    </row>
    <row r="77" spans="1:4">
      <c r="A77" s="18" t="s">
        <v>865</v>
      </c>
      <c r="B77" s="18" t="s">
        <v>789</v>
      </c>
      <c r="C77" s="20"/>
      <c r="D77" s="18" t="str">
        <f>_xlfn.XLOOKUP(Factures_Chantiers[[#This Row],[Étape]],Etapes_Chantiers[Étape],Etapes_Chantiers[N°])&amp;" - "&amp;Factures_Chantiers[[#This Row],[Étape]]</f>
        <v>2 - Facturé</v>
      </c>
    </row>
    <row r="78" spans="1:4">
      <c r="A78" s="18" t="s">
        <v>866</v>
      </c>
      <c r="B78" s="18" t="s">
        <v>789</v>
      </c>
      <c r="C78" s="20"/>
      <c r="D78" s="18" t="str">
        <f>_xlfn.XLOOKUP(Factures_Chantiers[[#This Row],[Étape]],Etapes_Chantiers[Étape],Etapes_Chantiers[N°])&amp;" - "&amp;Factures_Chantiers[[#This Row],[Étape]]</f>
        <v>2 - Facturé</v>
      </c>
    </row>
    <row r="79" spans="1:4">
      <c r="A79" s="18" t="s">
        <v>867</v>
      </c>
      <c r="B79" s="18" t="s">
        <v>787</v>
      </c>
      <c r="C79" s="20"/>
      <c r="D79" s="18" t="str">
        <f>_xlfn.XLOOKUP(Factures_Chantiers[[#This Row],[Étape]],Etapes_Chantiers[Étape],Etapes_Chantiers[N°])&amp;" - "&amp;Factures_Chantiers[[#This Row],[Étape]]</f>
        <v>0 - Non commencé</v>
      </c>
    </row>
    <row r="80" spans="1:4">
      <c r="A80" s="18" t="s">
        <v>868</v>
      </c>
      <c r="B80" s="18" t="s">
        <v>788</v>
      </c>
      <c r="C80" s="20"/>
      <c r="D80" s="18" t="str">
        <f>_xlfn.XLOOKUP(Factures_Chantiers[[#This Row],[Étape]],Etapes_Chantiers[Étape],Etapes_Chantiers[N°])&amp;" - "&amp;Factures_Chantiers[[#This Row],[Étape]]</f>
        <v>1 - En cours</v>
      </c>
    </row>
    <row r="81" spans="1:4">
      <c r="A81" s="18" t="s">
        <v>869</v>
      </c>
      <c r="B81" s="18" t="s">
        <v>789</v>
      </c>
      <c r="C81" s="20"/>
      <c r="D81" s="18" t="str">
        <f>_xlfn.XLOOKUP(Factures_Chantiers[[#This Row],[Étape]],Etapes_Chantiers[Étape],Etapes_Chantiers[N°])&amp;" - "&amp;Factures_Chantiers[[#This Row],[Étape]]</f>
        <v>2 - Facturé</v>
      </c>
    </row>
    <row r="82" spans="1:4">
      <c r="A82" s="18" t="s">
        <v>870</v>
      </c>
      <c r="B82" s="18" t="s">
        <v>790</v>
      </c>
      <c r="C82" s="20"/>
      <c r="D82" s="18" t="str">
        <f>_xlfn.XLOOKUP(Factures_Chantiers[[#This Row],[Étape]],Etapes_Chantiers[Étape],Etapes_Chantiers[N°])&amp;" - "&amp;Factures_Chantiers[[#This Row],[Étape]]</f>
        <v>3 - Payé</v>
      </c>
    </row>
    <row r="83" spans="1:4">
      <c r="A83" s="18" t="s">
        <v>871</v>
      </c>
      <c r="B83" s="18" t="s">
        <v>789</v>
      </c>
      <c r="C83" s="20"/>
      <c r="D83" s="18" t="str">
        <f>_xlfn.XLOOKUP(Factures_Chantiers[[#This Row],[Étape]],Etapes_Chantiers[Étape],Etapes_Chantiers[N°])&amp;" - "&amp;Factures_Chantiers[[#This Row],[Étape]]</f>
        <v>2 - Facturé</v>
      </c>
    </row>
    <row r="84" spans="1:4">
      <c r="A84" s="18" t="s">
        <v>872</v>
      </c>
      <c r="B84" s="18" t="s">
        <v>789</v>
      </c>
      <c r="C84" s="20"/>
      <c r="D84" s="18" t="str">
        <f>_xlfn.XLOOKUP(Factures_Chantiers[[#This Row],[Étape]],Etapes_Chantiers[Étape],Etapes_Chantiers[N°])&amp;" - "&amp;Factures_Chantiers[[#This Row],[Étape]]</f>
        <v>2 - Facturé</v>
      </c>
    </row>
    <row r="85" spans="1:4">
      <c r="A85" s="18" t="s">
        <v>873</v>
      </c>
      <c r="B85" s="18" t="s">
        <v>789</v>
      </c>
      <c r="C85" s="20"/>
      <c r="D85" s="18" t="str">
        <f>_xlfn.XLOOKUP(Factures_Chantiers[[#This Row],[Étape]],Etapes_Chantiers[Étape],Etapes_Chantiers[N°])&amp;" - "&amp;Factures_Chantiers[[#This Row],[Étape]]</f>
        <v>2 - Facturé</v>
      </c>
    </row>
    <row r="86" spans="1:4">
      <c r="A86" s="18" t="s">
        <v>874</v>
      </c>
      <c r="B86" s="18" t="s">
        <v>790</v>
      </c>
      <c r="C86" s="20"/>
      <c r="D86" s="18" t="str">
        <f>_xlfn.XLOOKUP(Factures_Chantiers[[#This Row],[Étape]],Etapes_Chantiers[Étape],Etapes_Chantiers[N°])&amp;" - "&amp;Factures_Chantiers[[#This Row],[Étape]]</f>
        <v>3 - Payé</v>
      </c>
    </row>
    <row r="87" spans="1:4">
      <c r="A87" s="18" t="s">
        <v>875</v>
      </c>
      <c r="B87" s="18" t="s">
        <v>789</v>
      </c>
      <c r="C87" s="20"/>
      <c r="D87" s="18" t="str">
        <f>_xlfn.XLOOKUP(Factures_Chantiers[[#This Row],[Étape]],Etapes_Chantiers[Étape],Etapes_Chantiers[N°])&amp;" - "&amp;Factures_Chantiers[[#This Row],[Étape]]</f>
        <v>2 - Facturé</v>
      </c>
    </row>
    <row r="88" spans="1:4">
      <c r="A88" s="18" t="s">
        <v>876</v>
      </c>
      <c r="B88" s="18" t="s">
        <v>789</v>
      </c>
      <c r="C88" s="20"/>
      <c r="D88" s="18" t="str">
        <f>_xlfn.XLOOKUP(Factures_Chantiers[[#This Row],[Étape]],Etapes_Chantiers[Étape],Etapes_Chantiers[N°])&amp;" - "&amp;Factures_Chantiers[[#This Row],[Étape]]</f>
        <v>2 - Facturé</v>
      </c>
    </row>
    <row r="89" spans="1:4">
      <c r="A89" s="18" t="s">
        <v>877</v>
      </c>
      <c r="B89" s="18" t="s">
        <v>789</v>
      </c>
      <c r="C89" s="20"/>
      <c r="D89" s="18" t="str">
        <f>_xlfn.XLOOKUP(Factures_Chantiers[[#This Row],[Étape]],Etapes_Chantiers[Étape],Etapes_Chantiers[N°])&amp;" - "&amp;Factures_Chantiers[[#This Row],[Étape]]</f>
        <v>2 - Facturé</v>
      </c>
    </row>
    <row r="90" spans="1:4">
      <c r="A90" s="18" t="s">
        <v>878</v>
      </c>
      <c r="B90" s="18" t="s">
        <v>787</v>
      </c>
      <c r="C90" s="20"/>
      <c r="D90" s="18" t="str">
        <f>_xlfn.XLOOKUP(Factures_Chantiers[[#This Row],[Étape]],Etapes_Chantiers[Étape],Etapes_Chantiers[N°])&amp;" - "&amp;Factures_Chantiers[[#This Row],[Étape]]</f>
        <v>0 - Non commencé</v>
      </c>
    </row>
    <row r="91" spans="1:4">
      <c r="A91" s="18" t="s">
        <v>879</v>
      </c>
      <c r="B91" s="18" t="s">
        <v>790</v>
      </c>
      <c r="C91" s="20"/>
      <c r="D91" s="18" t="str">
        <f>_xlfn.XLOOKUP(Factures_Chantiers[[#This Row],[Étape]],Etapes_Chantiers[Étape],Etapes_Chantiers[N°])&amp;" - "&amp;Factures_Chantiers[[#This Row],[Étape]]</f>
        <v>3 - Payé</v>
      </c>
    </row>
    <row r="92" spans="1:4">
      <c r="A92" s="18" t="s">
        <v>880</v>
      </c>
      <c r="B92" s="18" t="s">
        <v>790</v>
      </c>
      <c r="C92" s="20"/>
      <c r="D92" s="18" t="str">
        <f>_xlfn.XLOOKUP(Factures_Chantiers[[#This Row],[Étape]],Etapes_Chantiers[Étape],Etapes_Chantiers[N°])&amp;" - "&amp;Factures_Chantiers[[#This Row],[Étape]]</f>
        <v>3 - Payé</v>
      </c>
    </row>
    <row r="93" spans="1:4">
      <c r="A93" s="18" t="s">
        <v>881</v>
      </c>
      <c r="B93" s="18" t="s">
        <v>788</v>
      </c>
      <c r="C93" s="20"/>
      <c r="D93" s="18" t="str">
        <f>_xlfn.XLOOKUP(Factures_Chantiers[[#This Row],[Étape]],Etapes_Chantiers[Étape],Etapes_Chantiers[N°])&amp;" - "&amp;Factures_Chantiers[[#This Row],[Étape]]</f>
        <v>1 - En cours</v>
      </c>
    </row>
    <row r="94" spans="1:4">
      <c r="A94" s="18" t="s">
        <v>882</v>
      </c>
      <c r="B94" s="18" t="s">
        <v>788</v>
      </c>
      <c r="C94" s="20"/>
      <c r="D94" s="18" t="str">
        <f>_xlfn.XLOOKUP(Factures_Chantiers[[#This Row],[Étape]],Etapes_Chantiers[Étape],Etapes_Chantiers[N°])&amp;" - "&amp;Factures_Chantiers[[#This Row],[Étape]]</f>
        <v>1 - En cours</v>
      </c>
    </row>
    <row r="95" spans="1:4">
      <c r="A95" s="18" t="s">
        <v>883</v>
      </c>
      <c r="B95" s="18" t="s">
        <v>790</v>
      </c>
      <c r="C95" s="20"/>
      <c r="D95" s="18" t="str">
        <f>_xlfn.XLOOKUP(Factures_Chantiers[[#This Row],[Étape]],Etapes_Chantiers[Étape],Etapes_Chantiers[N°])&amp;" - "&amp;Factures_Chantiers[[#This Row],[Étape]]</f>
        <v>3 - Payé</v>
      </c>
    </row>
    <row r="96" spans="1:4">
      <c r="A96" s="18" t="s">
        <v>884</v>
      </c>
      <c r="B96" s="18" t="s">
        <v>789</v>
      </c>
      <c r="C96" s="20"/>
      <c r="D96" s="18" t="str">
        <f>_xlfn.XLOOKUP(Factures_Chantiers[[#This Row],[Étape]],Etapes_Chantiers[Étape],Etapes_Chantiers[N°])&amp;" - "&amp;Factures_Chantiers[[#This Row],[Étape]]</f>
        <v>2 - Facturé</v>
      </c>
    </row>
    <row r="97" spans="1:4">
      <c r="A97" s="18" t="s">
        <v>885</v>
      </c>
      <c r="B97" s="18" t="s">
        <v>788</v>
      </c>
      <c r="C97" s="20"/>
      <c r="D97" s="18" t="str">
        <f>_xlfn.XLOOKUP(Factures_Chantiers[[#This Row],[Étape]],Etapes_Chantiers[Étape],Etapes_Chantiers[N°])&amp;" - "&amp;Factures_Chantiers[[#This Row],[Étape]]</f>
        <v>1 - En cours</v>
      </c>
    </row>
    <row r="98" spans="1:4">
      <c r="A98" s="18" t="s">
        <v>886</v>
      </c>
      <c r="B98" s="18" t="s">
        <v>787</v>
      </c>
      <c r="C98" s="20"/>
      <c r="D98" s="18" t="str">
        <f>_xlfn.XLOOKUP(Factures_Chantiers[[#This Row],[Étape]],Etapes_Chantiers[Étape],Etapes_Chantiers[N°])&amp;" - "&amp;Factures_Chantiers[[#This Row],[Étape]]</f>
        <v>0 - Non commencé</v>
      </c>
    </row>
    <row r="99" spans="1:4">
      <c r="A99" s="18" t="s">
        <v>887</v>
      </c>
      <c r="B99" s="18" t="s">
        <v>787</v>
      </c>
      <c r="C99" s="20"/>
      <c r="D99" s="18" t="str">
        <f>_xlfn.XLOOKUP(Factures_Chantiers[[#This Row],[Étape]],Etapes_Chantiers[Étape],Etapes_Chantiers[N°])&amp;" - "&amp;Factures_Chantiers[[#This Row],[Étape]]</f>
        <v>0 - Non commencé</v>
      </c>
    </row>
    <row r="100" spans="1:4">
      <c r="A100" s="18" t="s">
        <v>888</v>
      </c>
      <c r="B100" s="18" t="s">
        <v>789</v>
      </c>
      <c r="C100" s="20"/>
      <c r="D100" s="18" t="str">
        <f>_xlfn.XLOOKUP(Factures_Chantiers[[#This Row],[Étape]],Etapes_Chantiers[Étape],Etapes_Chantiers[N°])&amp;" - "&amp;Factures_Chantiers[[#This Row],[Étape]]</f>
        <v>2 - Facturé</v>
      </c>
    </row>
  </sheetData>
  <phoneticPr fontId="5" type="noConversion"/>
  <pageMargins left="0.7" right="0.7" top="0.75" bottom="0.75" header="0.3" footer="0.3"/>
  <pageSetup paperSize="9" orientation="portrait" horizontalDpi="90" verticalDpi="90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B79B1-8EEC-884F-86ED-DC584269CCA7}">
  <sheetPr>
    <tabColor theme="8" tint="0.79998168889431442"/>
  </sheetPr>
  <dimension ref="A1:I44"/>
  <sheetViews>
    <sheetView showGridLines="0" workbookViewId="0">
      <pane ySplit="5" topLeftCell="A6" activePane="bottomLeft" state="frozen"/>
      <selection activeCell="D7" sqref="D7"/>
      <selection pane="bottomLeft" activeCell="E6" sqref="E6"/>
    </sheetView>
  </sheetViews>
  <sheetFormatPr baseColWidth="10" defaultColWidth="12.109375" defaultRowHeight="14.4"/>
  <cols>
    <col min="1" max="2" width="15.77734375" style="1" customWidth="1"/>
    <col min="3" max="3" width="13.77734375" style="1" customWidth="1"/>
    <col min="4" max="5" width="18.33203125" style="1" customWidth="1"/>
    <col min="6" max="6" width="5.77734375" style="1" customWidth="1"/>
    <col min="7" max="7" width="13.77734375" style="1" customWidth="1"/>
    <col min="8" max="8" width="18.33203125" style="1" customWidth="1"/>
    <col min="9" max="9" width="5.77734375" style="1" customWidth="1"/>
    <col min="10" max="16384" width="12.109375" style="1"/>
  </cols>
  <sheetData>
    <row r="1" spans="1:9">
      <c r="A1" s="29" t="s">
        <v>132</v>
      </c>
      <c r="B1" s="29"/>
      <c r="C1" s="29"/>
      <c r="D1" s="29"/>
      <c r="E1" s="30"/>
      <c r="F1" s="30"/>
      <c r="G1" s="30"/>
      <c r="H1" s="30"/>
      <c r="I1" s="30"/>
    </row>
    <row r="2" spans="1:9">
      <c r="A2" s="35" t="s">
        <v>893</v>
      </c>
      <c r="B2" s="35"/>
      <c r="C2" s="35"/>
      <c r="D2" s="35"/>
      <c r="E2" s="32"/>
      <c r="F2" s="32"/>
      <c r="G2" s="32"/>
      <c r="H2" s="32"/>
      <c r="I2" s="32"/>
    </row>
    <row r="3" spans="1:9">
      <c r="A3"/>
      <c r="B3"/>
      <c r="C3"/>
      <c r="D3"/>
      <c r="E3"/>
    </row>
    <row r="4" spans="1:9">
      <c r="D4"/>
      <c r="E4"/>
      <c r="G4" s="113" t="s">
        <v>263</v>
      </c>
      <c r="H4" s="114"/>
    </row>
    <row r="5" spans="1:9">
      <c r="A5" s="1" t="s">
        <v>1</v>
      </c>
      <c r="B5" s="1" t="s">
        <v>2</v>
      </c>
      <c r="C5" s="1" t="s">
        <v>133</v>
      </c>
      <c r="D5" s="1" t="s">
        <v>134</v>
      </c>
      <c r="E5" s="27" t="s">
        <v>81</v>
      </c>
      <c r="G5" s="5" t="s">
        <v>0</v>
      </c>
      <c r="H5" s="5" t="s">
        <v>134</v>
      </c>
    </row>
    <row r="6" spans="1:9">
      <c r="A6" s="5" t="s">
        <v>34</v>
      </c>
      <c r="B6" s="2" t="s">
        <v>33</v>
      </c>
      <c r="C6" s="10">
        <v>7</v>
      </c>
      <c r="D6" s="12" t="str">
        <f>_xlfn.XLOOKUP(Notes[[#This Row],[Note / 20]],Mentions[Note],Mentions[Appréciation],,-1)</f>
        <v>Rattrapage</v>
      </c>
      <c r="E6" s="8" t="str">
        <f>_xlfn.XLOOKUP(Notes[[#This Row],[Note / 20]],Mentions[Note],Mentions[Appréciation],"Absent",-1)</f>
        <v>Rattrapage</v>
      </c>
      <c r="G6" s="56">
        <v>16</v>
      </c>
      <c r="H6" s="56" t="s">
        <v>135</v>
      </c>
    </row>
    <row r="7" spans="1:9">
      <c r="A7" s="5" t="s">
        <v>14</v>
      </c>
      <c r="B7" s="2" t="s">
        <v>13</v>
      </c>
      <c r="C7" s="10">
        <v>14</v>
      </c>
      <c r="D7" s="12" t="str">
        <f>_xlfn.XLOOKUP(Notes[[#This Row],[Note / 20]],Mentions[Note],Mentions[Appréciation],,-1)</f>
        <v>Bien</v>
      </c>
      <c r="E7" s="8" t="str">
        <f>_xlfn.XLOOKUP(Notes[[#This Row],[Note / 20]],Mentions[Note],Mentions[Appréciation],"Absent",-1)</f>
        <v>Bien</v>
      </c>
      <c r="G7" s="56">
        <v>14</v>
      </c>
      <c r="H7" s="56" t="s">
        <v>136</v>
      </c>
    </row>
    <row r="8" spans="1:9">
      <c r="A8" s="5" t="s">
        <v>8</v>
      </c>
      <c r="B8" s="2" t="s">
        <v>7</v>
      </c>
      <c r="C8" s="10">
        <v>17</v>
      </c>
      <c r="D8" s="12" t="str">
        <f>_xlfn.XLOOKUP(Notes[[#This Row],[Note / 20]],Mentions[Note],Mentions[Appréciation],,-1)</f>
        <v>Très bien</v>
      </c>
      <c r="E8" s="8" t="str">
        <f>_xlfn.XLOOKUP(Notes[[#This Row],[Note / 20]],Mentions[Note],Mentions[Appréciation],"Absent",-1)</f>
        <v>Très bien</v>
      </c>
      <c r="G8" s="56">
        <v>12</v>
      </c>
      <c r="H8" s="56" t="s">
        <v>137</v>
      </c>
    </row>
    <row r="9" spans="1:9">
      <c r="A9" s="5" t="s">
        <v>6</v>
      </c>
      <c r="B9" s="2" t="s">
        <v>5</v>
      </c>
      <c r="C9" s="10">
        <v>8</v>
      </c>
      <c r="D9" s="12" t="str">
        <f>_xlfn.XLOOKUP(Notes[[#This Row],[Note / 20]],Mentions[Note],Mentions[Appréciation],,-1)</f>
        <v>Rattrapage</v>
      </c>
      <c r="E9" s="8" t="str">
        <f>_xlfn.XLOOKUP(Notes[[#This Row],[Note / 20]],Mentions[Note],Mentions[Appréciation],"Absent",-1)</f>
        <v>Rattrapage</v>
      </c>
      <c r="G9" s="56">
        <v>10</v>
      </c>
      <c r="H9" s="56" t="s">
        <v>138</v>
      </c>
    </row>
    <row r="10" spans="1:9">
      <c r="A10" s="5" t="s">
        <v>64</v>
      </c>
      <c r="B10" s="2" t="s">
        <v>63</v>
      </c>
      <c r="C10" s="10">
        <v>9</v>
      </c>
      <c r="D10" s="12" t="str">
        <f>_xlfn.XLOOKUP(Notes[[#This Row],[Note / 20]],Mentions[Note],Mentions[Appréciation],,-1)</f>
        <v>Rattrapage</v>
      </c>
      <c r="E10" s="8" t="str">
        <f>_xlfn.XLOOKUP(Notes[[#This Row],[Note / 20]],Mentions[Note],Mentions[Appréciation],"Absent",-1)</f>
        <v>Rattrapage</v>
      </c>
      <c r="G10" s="56">
        <v>6</v>
      </c>
      <c r="H10" s="56" t="s">
        <v>139</v>
      </c>
    </row>
    <row r="11" spans="1:9">
      <c r="A11" s="5" t="s">
        <v>30</v>
      </c>
      <c r="B11" s="2" t="s">
        <v>29</v>
      </c>
      <c r="C11" s="10">
        <v>19</v>
      </c>
      <c r="D11" s="12" t="str">
        <f>_xlfn.XLOOKUP(Notes[[#This Row],[Note / 20]],Mentions[Note],Mentions[Appréciation],,-1)</f>
        <v>Très bien</v>
      </c>
      <c r="E11" s="8" t="str">
        <f>_xlfn.XLOOKUP(Notes[[#This Row],[Note / 20]],Mentions[Note],Mentions[Appréciation],"Absent",-1)</f>
        <v>Très bien</v>
      </c>
      <c r="G11" s="56">
        <v>0</v>
      </c>
      <c r="H11" s="56" t="s">
        <v>140</v>
      </c>
    </row>
    <row r="12" spans="1:9">
      <c r="A12" s="5" t="s">
        <v>53</v>
      </c>
      <c r="B12" s="2" t="s">
        <v>52</v>
      </c>
      <c r="C12" s="10">
        <v>13</v>
      </c>
      <c r="D12" s="12" t="str">
        <f>_xlfn.XLOOKUP(Notes[[#This Row],[Note / 20]],Mentions[Note],Mentions[Appréciation],,-1)</f>
        <v>Assez bien</v>
      </c>
      <c r="E12" s="8" t="str">
        <f>_xlfn.XLOOKUP(Notes[[#This Row],[Note / 20]],Mentions[Note],Mentions[Appréciation],"Absent",-1)</f>
        <v>Assez bien</v>
      </c>
      <c r="G12" s="56" t="s">
        <v>141</v>
      </c>
      <c r="H12" s="56" t="s">
        <v>142</v>
      </c>
    </row>
    <row r="13" spans="1:9">
      <c r="A13" s="5" t="s">
        <v>51</v>
      </c>
      <c r="B13" s="2" t="s">
        <v>50</v>
      </c>
      <c r="C13" s="10">
        <v>12</v>
      </c>
      <c r="D13" s="12" t="str">
        <f>_xlfn.XLOOKUP(Notes[[#This Row],[Note / 20]],Mentions[Note],Mentions[Appréciation],,-1)</f>
        <v>Assez bien</v>
      </c>
      <c r="E13" s="8" t="str">
        <f>_xlfn.XLOOKUP(Notes[[#This Row],[Note / 20]],Mentions[Note],Mentions[Appréciation],"Absent",-1)</f>
        <v>Assez bien</v>
      </c>
    </row>
    <row r="14" spans="1:9">
      <c r="A14" s="5" t="s">
        <v>82</v>
      </c>
      <c r="B14" s="2" t="s">
        <v>58</v>
      </c>
      <c r="C14" s="10"/>
      <c r="D14" s="12" t="str">
        <f>_xlfn.XLOOKUP(Notes[[#This Row],[Note / 20]],Mentions[Note],Mentions[Appréciation],,-1)</f>
        <v>Absent</v>
      </c>
      <c r="E14" s="8" t="str">
        <f>_xlfn.XLOOKUP(Notes[[#This Row],[Note / 20]],Mentions[Note],Mentions[Appréciation],"Absent",-1)</f>
        <v>Absent</v>
      </c>
    </row>
    <row r="15" spans="1:9">
      <c r="A15" s="5" t="s">
        <v>10</v>
      </c>
      <c r="B15" s="2" t="s">
        <v>9</v>
      </c>
      <c r="C15" s="10">
        <v>10</v>
      </c>
      <c r="D15" s="12" t="str">
        <f>_xlfn.XLOOKUP(Notes[[#This Row],[Note / 20]],Mentions[Note],Mentions[Appréciation],,-1)</f>
        <v>Admis</v>
      </c>
      <c r="E15" s="8" t="str">
        <f>_xlfn.XLOOKUP(Notes[[#This Row],[Note / 20]],Mentions[Note],Mentions[Appréciation],"Absent",-1)</f>
        <v>Admis</v>
      </c>
    </row>
    <row r="16" spans="1:9">
      <c r="A16" s="5" t="s">
        <v>18</v>
      </c>
      <c r="B16" s="2" t="s">
        <v>17</v>
      </c>
      <c r="C16" s="10">
        <v>6</v>
      </c>
      <c r="D16" s="12" t="str">
        <f>_xlfn.XLOOKUP(Notes[[#This Row],[Note / 20]],Mentions[Note],Mentions[Appréciation],,-1)</f>
        <v>Rattrapage</v>
      </c>
      <c r="E16" s="8" t="str">
        <f>_xlfn.XLOOKUP(Notes[[#This Row],[Note / 20]],Mentions[Note],Mentions[Appréciation],"Absent",-1)</f>
        <v>Rattrapage</v>
      </c>
    </row>
    <row r="17" spans="1:5">
      <c r="A17" s="5" t="s">
        <v>57</v>
      </c>
      <c r="B17" s="2" t="s">
        <v>56</v>
      </c>
      <c r="C17" s="10">
        <v>10</v>
      </c>
      <c r="D17" s="12" t="str">
        <f>_xlfn.XLOOKUP(Notes[[#This Row],[Note / 20]],Mentions[Note],Mentions[Appréciation],,-1)</f>
        <v>Admis</v>
      </c>
      <c r="E17" s="8" t="str">
        <f>_xlfn.XLOOKUP(Notes[[#This Row],[Note / 20]],Mentions[Note],Mentions[Appréciation],"Absent",-1)</f>
        <v>Admis</v>
      </c>
    </row>
    <row r="18" spans="1:5">
      <c r="A18" s="5" t="s">
        <v>26</v>
      </c>
      <c r="B18" s="2" t="s">
        <v>25</v>
      </c>
      <c r="C18" s="10">
        <v>16</v>
      </c>
      <c r="D18" s="12" t="str">
        <f>_xlfn.XLOOKUP(Notes[[#This Row],[Note / 20]],Mentions[Note],Mentions[Appréciation],,-1)</f>
        <v>Très bien</v>
      </c>
      <c r="E18" s="8" t="str">
        <f>_xlfn.XLOOKUP(Notes[[#This Row],[Note / 20]],Mentions[Note],Mentions[Appréciation],"Absent",-1)</f>
        <v>Très bien</v>
      </c>
    </row>
    <row r="19" spans="1:5">
      <c r="A19" s="5" t="s">
        <v>55</v>
      </c>
      <c r="B19" s="2" t="s">
        <v>54</v>
      </c>
      <c r="C19" s="10">
        <v>20</v>
      </c>
      <c r="D19" s="12" t="str">
        <f>_xlfn.XLOOKUP(Notes[[#This Row],[Note / 20]],Mentions[Note],Mentions[Appréciation],,-1)</f>
        <v>Très bien</v>
      </c>
      <c r="E19" s="8" t="str">
        <f>_xlfn.XLOOKUP(Notes[[#This Row],[Note / 20]],Mentions[Note],Mentions[Appréciation],"Absent",-1)</f>
        <v>Très bien</v>
      </c>
    </row>
    <row r="20" spans="1:5">
      <c r="A20" s="5" t="s">
        <v>115</v>
      </c>
      <c r="B20" s="2" t="s">
        <v>45</v>
      </c>
      <c r="C20" s="10">
        <v>17</v>
      </c>
      <c r="D20" s="12" t="str">
        <f>_xlfn.XLOOKUP(Notes[[#This Row],[Note / 20]],Mentions[Note],Mentions[Appréciation],,-1)</f>
        <v>Très bien</v>
      </c>
      <c r="E20" s="8" t="str">
        <f>_xlfn.XLOOKUP(Notes[[#This Row],[Note / 20]],Mentions[Note],Mentions[Appréciation],"Absent",-1)</f>
        <v>Très bien</v>
      </c>
    </row>
    <row r="21" spans="1:5">
      <c r="A21" s="5" t="s">
        <v>47</v>
      </c>
      <c r="B21" s="2" t="s">
        <v>46</v>
      </c>
      <c r="C21" s="10"/>
      <c r="D21" s="12" t="str">
        <f>_xlfn.XLOOKUP(Notes[[#This Row],[Note / 20]],Mentions[Note],Mentions[Appréciation],,-1)</f>
        <v>Absent</v>
      </c>
      <c r="E21" s="8" t="str">
        <f>_xlfn.XLOOKUP(Notes[[#This Row],[Note / 20]],Mentions[Note],Mentions[Appréciation],"Absent",-1)</f>
        <v>Absent</v>
      </c>
    </row>
    <row r="22" spans="1:5">
      <c r="A22" s="5" t="s">
        <v>24</v>
      </c>
      <c r="B22" s="2" t="s">
        <v>23</v>
      </c>
      <c r="C22" s="10">
        <v>20</v>
      </c>
      <c r="D22" s="12" t="str">
        <f>_xlfn.XLOOKUP(Notes[[#This Row],[Note / 20]],Mentions[Note],Mentions[Appréciation],,-1)</f>
        <v>Très bien</v>
      </c>
      <c r="E22" s="8" t="str">
        <f>_xlfn.XLOOKUP(Notes[[#This Row],[Note / 20]],Mentions[Note],Mentions[Appréciation],"Absent",-1)</f>
        <v>Très bien</v>
      </c>
    </row>
    <row r="23" spans="1:5">
      <c r="A23" s="5" t="s">
        <v>32</v>
      </c>
      <c r="B23" s="2" t="s">
        <v>31</v>
      </c>
      <c r="C23" s="10"/>
      <c r="D23" s="12" t="str">
        <f>_xlfn.XLOOKUP(Notes[[#This Row],[Note / 20]],Mentions[Note],Mentions[Appréciation],,-1)</f>
        <v>Absent</v>
      </c>
      <c r="E23" s="8" t="str">
        <f>_xlfn.XLOOKUP(Notes[[#This Row],[Note / 20]],Mentions[Note],Mentions[Appréciation],"Absent",-1)</f>
        <v>Absent</v>
      </c>
    </row>
    <row r="24" spans="1:5">
      <c r="A24" s="5" t="s">
        <v>38</v>
      </c>
      <c r="B24" s="2" t="s">
        <v>37</v>
      </c>
      <c r="C24" s="10">
        <v>14</v>
      </c>
      <c r="D24" s="12" t="str">
        <f>_xlfn.XLOOKUP(Notes[[#This Row],[Note / 20]],Mentions[Note],Mentions[Appréciation],,-1)</f>
        <v>Bien</v>
      </c>
      <c r="E24" s="8" t="str">
        <f>_xlfn.XLOOKUP(Notes[[#This Row],[Note / 20]],Mentions[Note],Mentions[Appréciation],"Absent",-1)</f>
        <v>Bien</v>
      </c>
    </row>
    <row r="25" spans="1:5">
      <c r="A25" s="5" t="s">
        <v>16</v>
      </c>
      <c r="B25" s="2" t="s">
        <v>15</v>
      </c>
      <c r="C25" s="10">
        <v>6</v>
      </c>
      <c r="D25" s="12" t="str">
        <f>_xlfn.XLOOKUP(Notes[[#This Row],[Note / 20]],Mentions[Note],Mentions[Appréciation],,-1)</f>
        <v>Rattrapage</v>
      </c>
      <c r="E25" s="8" t="str">
        <f>_xlfn.XLOOKUP(Notes[[#This Row],[Note / 20]],Mentions[Note],Mentions[Appréciation],"Absent",-1)</f>
        <v>Rattrapage</v>
      </c>
    </row>
    <row r="26" spans="1:5">
      <c r="A26" s="5" t="s">
        <v>28</v>
      </c>
      <c r="B26" s="2" t="s">
        <v>27</v>
      </c>
      <c r="C26" s="10">
        <v>17</v>
      </c>
      <c r="D26" s="12" t="str">
        <f>_xlfn.XLOOKUP(Notes[[#This Row],[Note / 20]],Mentions[Note],Mentions[Appréciation],,-1)</f>
        <v>Très bien</v>
      </c>
      <c r="E26" s="8" t="str">
        <f>_xlfn.XLOOKUP(Notes[[#This Row],[Note / 20]],Mentions[Note],Mentions[Appréciation],"Absent",-1)</f>
        <v>Très bien</v>
      </c>
    </row>
    <row r="27" spans="1:5">
      <c r="A27" s="5" t="s">
        <v>49</v>
      </c>
      <c r="B27" s="2" t="s">
        <v>48</v>
      </c>
      <c r="C27" s="10">
        <v>5</v>
      </c>
      <c r="D27" s="12" t="str">
        <f>_xlfn.XLOOKUP(Notes[[#This Row],[Note / 20]],Mentions[Note],Mentions[Appréciation],,-1)</f>
        <v>Refusé</v>
      </c>
      <c r="E27" s="8" t="str">
        <f>_xlfn.XLOOKUP(Notes[[#This Row],[Note / 20]],Mentions[Note],Mentions[Appréciation],"Absent",-1)</f>
        <v>Refusé</v>
      </c>
    </row>
    <row r="28" spans="1:5">
      <c r="A28" s="5" t="s">
        <v>44</v>
      </c>
      <c r="B28" s="2" t="s">
        <v>43</v>
      </c>
      <c r="C28" s="10">
        <v>13</v>
      </c>
      <c r="D28" s="12" t="str">
        <f>_xlfn.XLOOKUP(Notes[[#This Row],[Note / 20]],Mentions[Note],Mentions[Appréciation],,-1)</f>
        <v>Assez bien</v>
      </c>
      <c r="E28" s="8" t="str">
        <f>_xlfn.XLOOKUP(Notes[[#This Row],[Note / 20]],Mentions[Note],Mentions[Appréciation],"Absent",-1)</f>
        <v>Assez bien</v>
      </c>
    </row>
    <row r="29" spans="1:5">
      <c r="A29" s="5" t="s">
        <v>40</v>
      </c>
      <c r="B29" s="2" t="s">
        <v>39</v>
      </c>
      <c r="C29" s="10">
        <v>18</v>
      </c>
      <c r="D29" s="12" t="str">
        <f>_xlfn.XLOOKUP(Notes[[#This Row],[Note / 20]],Mentions[Note],Mentions[Appréciation],,-1)</f>
        <v>Très bien</v>
      </c>
      <c r="E29" s="8" t="str">
        <f>_xlfn.XLOOKUP(Notes[[#This Row],[Note / 20]],Mentions[Note],Mentions[Appréciation],"Absent",-1)</f>
        <v>Très bien</v>
      </c>
    </row>
    <row r="30" spans="1:5">
      <c r="A30" s="5" t="s">
        <v>42</v>
      </c>
      <c r="B30" s="2" t="s">
        <v>41</v>
      </c>
      <c r="C30" s="10"/>
      <c r="D30" s="12" t="str">
        <f>_xlfn.XLOOKUP(Notes[[#This Row],[Note / 20]],Mentions[Note],Mentions[Appréciation],,-1)</f>
        <v>Absent</v>
      </c>
      <c r="E30" s="8" t="str">
        <f>_xlfn.XLOOKUP(Notes[[#This Row],[Note / 20]],Mentions[Note],Mentions[Appréciation],"Absent",-1)</f>
        <v>Absent</v>
      </c>
    </row>
    <row r="31" spans="1:5">
      <c r="A31" s="5" t="s">
        <v>60</v>
      </c>
      <c r="B31" s="2" t="s">
        <v>59</v>
      </c>
      <c r="C31" s="10">
        <v>11</v>
      </c>
      <c r="D31" s="12" t="str">
        <f>_xlfn.XLOOKUP(Notes[[#This Row],[Note / 20]],Mentions[Note],Mentions[Appréciation],,-1)</f>
        <v>Admis</v>
      </c>
      <c r="E31" s="8" t="str">
        <f>_xlfn.XLOOKUP(Notes[[#This Row],[Note / 20]],Mentions[Note],Mentions[Appréciation],"Absent",-1)</f>
        <v>Admis</v>
      </c>
    </row>
    <row r="32" spans="1:5">
      <c r="A32" s="5" t="s">
        <v>22</v>
      </c>
      <c r="B32" s="2" t="s">
        <v>21</v>
      </c>
      <c r="C32" s="10">
        <v>9</v>
      </c>
      <c r="D32" s="12" t="str">
        <f>_xlfn.XLOOKUP(Notes[[#This Row],[Note / 20]],Mentions[Note],Mentions[Appréciation],,-1)</f>
        <v>Rattrapage</v>
      </c>
      <c r="E32" s="8" t="str">
        <f>_xlfn.XLOOKUP(Notes[[#This Row],[Note / 20]],Mentions[Note],Mentions[Appréciation],"Absent",-1)</f>
        <v>Rattrapage</v>
      </c>
    </row>
    <row r="33" spans="1:5">
      <c r="A33" s="5" t="s">
        <v>12</v>
      </c>
      <c r="B33" s="2" t="s">
        <v>11</v>
      </c>
      <c r="C33" s="10">
        <v>6</v>
      </c>
      <c r="D33" s="12" t="str">
        <f>_xlfn.XLOOKUP(Notes[[#This Row],[Note / 20]],Mentions[Note],Mentions[Appréciation],,-1)</f>
        <v>Rattrapage</v>
      </c>
      <c r="E33" s="8" t="str">
        <f>_xlfn.XLOOKUP(Notes[[#This Row],[Note / 20]],Mentions[Note],Mentions[Appréciation],"Absent",-1)</f>
        <v>Rattrapage</v>
      </c>
    </row>
    <row r="34" spans="1:5">
      <c r="A34" s="5" t="s">
        <v>62</v>
      </c>
      <c r="B34" s="2" t="s">
        <v>61</v>
      </c>
      <c r="C34" s="10">
        <v>1</v>
      </c>
      <c r="D34" s="12" t="str">
        <f>_xlfn.XLOOKUP(Notes[[#This Row],[Note / 20]],Mentions[Note],Mentions[Appréciation],,-1)</f>
        <v>Refusé</v>
      </c>
      <c r="E34" s="8" t="str">
        <f>_xlfn.XLOOKUP(Notes[[#This Row],[Note / 20]],Mentions[Note],Mentions[Appréciation],"Absent",-1)</f>
        <v>Refusé</v>
      </c>
    </row>
    <row r="35" spans="1:5">
      <c r="A35" s="5" t="s">
        <v>20</v>
      </c>
      <c r="B35" s="2" t="s">
        <v>19</v>
      </c>
      <c r="C35" s="10">
        <v>13</v>
      </c>
      <c r="D35" s="12" t="str">
        <f>_xlfn.XLOOKUP(Notes[[#This Row],[Note / 20]],Mentions[Note],Mentions[Appréciation],,-1)</f>
        <v>Assez bien</v>
      </c>
      <c r="E35" s="8" t="str">
        <f>_xlfn.XLOOKUP(Notes[[#This Row],[Note / 20]],Mentions[Note],Mentions[Appréciation],"Absent",-1)</f>
        <v>Assez bien</v>
      </c>
    </row>
    <row r="36" spans="1:5">
      <c r="A36" s="5" t="s">
        <v>36</v>
      </c>
      <c r="B36" s="2" t="s">
        <v>35</v>
      </c>
      <c r="C36" s="10">
        <v>3</v>
      </c>
      <c r="D36" s="12" t="str">
        <f>_xlfn.XLOOKUP(Notes[[#This Row],[Note / 20]],Mentions[Note],Mentions[Appréciation],,-1)</f>
        <v>Refusé</v>
      </c>
      <c r="E36" s="8" t="str">
        <f>_xlfn.XLOOKUP(Notes[[#This Row],[Note / 20]],Mentions[Note],Mentions[Appréciation],"Absent",-1)</f>
        <v>Refusé</v>
      </c>
    </row>
    <row r="37" spans="1:5">
      <c r="A37" s="5" t="s">
        <v>70</v>
      </c>
      <c r="B37" s="2" t="s">
        <v>69</v>
      </c>
      <c r="C37" s="10">
        <v>2</v>
      </c>
      <c r="D37" s="12" t="str">
        <f>_xlfn.XLOOKUP(Notes[[#This Row],[Note / 20]],Mentions[Note],Mentions[Appréciation],,-1)</f>
        <v>Refusé</v>
      </c>
      <c r="E37" s="8" t="str">
        <f>_xlfn.XLOOKUP(Notes[[#This Row],[Note / 20]],Mentions[Note],Mentions[Appréciation],"Absent",-1)</f>
        <v>Refusé</v>
      </c>
    </row>
    <row r="38" spans="1:5">
      <c r="A38" s="5" t="s">
        <v>80</v>
      </c>
      <c r="B38" s="2" t="s">
        <v>79</v>
      </c>
      <c r="C38" s="10">
        <v>14</v>
      </c>
      <c r="D38" s="12" t="str">
        <f>_xlfn.XLOOKUP(Notes[[#This Row],[Note / 20]],Mentions[Note],Mentions[Appréciation],,-1)</f>
        <v>Bien</v>
      </c>
      <c r="E38" s="8" t="str">
        <f>_xlfn.XLOOKUP(Notes[[#This Row],[Note / 20]],Mentions[Note],Mentions[Appréciation],"Absent",-1)</f>
        <v>Bien</v>
      </c>
    </row>
    <row r="39" spans="1:5">
      <c r="A39" s="5" t="s">
        <v>68</v>
      </c>
      <c r="B39" s="2" t="s">
        <v>67</v>
      </c>
      <c r="C39" s="10">
        <v>17</v>
      </c>
      <c r="D39" s="12" t="str">
        <f>_xlfn.XLOOKUP(Notes[[#This Row],[Note / 20]],Mentions[Note],Mentions[Appréciation],,-1)</f>
        <v>Très bien</v>
      </c>
      <c r="E39" s="8" t="str">
        <f>_xlfn.XLOOKUP(Notes[[#This Row],[Note / 20]],Mentions[Note],Mentions[Appréciation],"Absent",-1)</f>
        <v>Très bien</v>
      </c>
    </row>
    <row r="40" spans="1:5">
      <c r="A40" s="5" t="s">
        <v>74</v>
      </c>
      <c r="B40" s="2" t="s">
        <v>73</v>
      </c>
      <c r="C40" s="10">
        <v>15</v>
      </c>
      <c r="D40" s="12" t="str">
        <f>_xlfn.XLOOKUP(Notes[[#This Row],[Note / 20]],Mentions[Note],Mentions[Appréciation],,-1)</f>
        <v>Bien</v>
      </c>
      <c r="E40" s="8" t="str">
        <f>_xlfn.XLOOKUP(Notes[[#This Row],[Note / 20]],Mentions[Note],Mentions[Appréciation],"Absent",-1)</f>
        <v>Bien</v>
      </c>
    </row>
    <row r="41" spans="1:5">
      <c r="A41" s="5" t="s">
        <v>66</v>
      </c>
      <c r="B41" s="2" t="s">
        <v>65</v>
      </c>
      <c r="C41" s="10">
        <v>6</v>
      </c>
      <c r="D41" s="12" t="str">
        <f>_xlfn.XLOOKUP(Notes[[#This Row],[Note / 20]],Mentions[Note],Mentions[Appréciation],,-1)</f>
        <v>Rattrapage</v>
      </c>
      <c r="E41" s="8" t="str">
        <f>_xlfn.XLOOKUP(Notes[[#This Row],[Note / 20]],Mentions[Note],Mentions[Appréciation],"Absent",-1)</f>
        <v>Rattrapage</v>
      </c>
    </row>
    <row r="42" spans="1:5">
      <c r="A42" s="5" t="s">
        <v>78</v>
      </c>
      <c r="B42" s="2" t="s">
        <v>77</v>
      </c>
      <c r="C42" s="10">
        <v>3</v>
      </c>
      <c r="D42" s="12" t="str">
        <f>_xlfn.XLOOKUP(Notes[[#This Row],[Note / 20]],Mentions[Note],Mentions[Appréciation],,-1)</f>
        <v>Refusé</v>
      </c>
      <c r="E42" s="8" t="str">
        <f>_xlfn.XLOOKUP(Notes[[#This Row],[Note / 20]],Mentions[Note],Mentions[Appréciation],"Absent",-1)</f>
        <v>Refusé</v>
      </c>
    </row>
    <row r="43" spans="1:5">
      <c r="A43" s="5" t="s">
        <v>76</v>
      </c>
      <c r="B43" s="2" t="s">
        <v>75</v>
      </c>
      <c r="C43" s="10">
        <v>13</v>
      </c>
      <c r="D43" s="12" t="str">
        <f>_xlfn.XLOOKUP(Notes[[#This Row],[Note / 20]],Mentions[Note],Mentions[Appréciation],,-1)</f>
        <v>Assez bien</v>
      </c>
      <c r="E43" s="8" t="str">
        <f>_xlfn.XLOOKUP(Notes[[#This Row],[Note / 20]],Mentions[Note],Mentions[Appréciation],"Absent",-1)</f>
        <v>Assez bien</v>
      </c>
    </row>
    <row r="44" spans="1:5">
      <c r="A44" s="5" t="s">
        <v>72</v>
      </c>
      <c r="B44" s="2" t="s">
        <v>71</v>
      </c>
      <c r="C44" s="10">
        <v>17</v>
      </c>
      <c r="D44" s="12" t="str">
        <f>_xlfn.XLOOKUP(Notes[[#This Row],[Note / 20]],Mentions[Note],Mentions[Appréciation],,-1)</f>
        <v>Très bien</v>
      </c>
      <c r="E44" s="8" t="str">
        <f>_xlfn.XLOOKUP(Notes[[#This Row],[Note / 20]],Mentions[Note],Mentions[Appréciation],"Absent",-1)</f>
        <v>Très bien</v>
      </c>
    </row>
  </sheetData>
  <mergeCells count="1">
    <mergeCell ref="G4:H4"/>
  </mergeCells>
  <phoneticPr fontId="5" type="noConversion"/>
  <pageMargins left="0.7" right="0.7" top="0.75" bottom="0.75" header="0.3" footer="0.3"/>
  <pageSetup paperSize="9" orientation="portrait" horizontalDpi="90" verticalDpi="90"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44B43-506F-1B43-8E4A-DE2088783362}">
  <sheetPr>
    <tabColor theme="8" tint="0.79998168889431442"/>
  </sheetPr>
  <dimension ref="A1:H105"/>
  <sheetViews>
    <sheetView showGridLines="0" workbookViewId="0">
      <selection activeCell="G17" sqref="G17"/>
    </sheetView>
  </sheetViews>
  <sheetFormatPr baseColWidth="10" defaultColWidth="12.109375" defaultRowHeight="14.4"/>
  <cols>
    <col min="1" max="1" width="17.77734375" style="1" customWidth="1"/>
    <col min="2" max="2" width="10.77734375" style="1" customWidth="1"/>
    <col min="3" max="3" width="25.77734375" style="1" customWidth="1"/>
    <col min="4" max="4" width="20.77734375" style="1" customWidth="1"/>
    <col min="5" max="5" width="25.77734375" style="1" customWidth="1"/>
    <col min="6" max="6" width="5.77734375" style="1" customWidth="1"/>
    <col min="7" max="7" width="10.77734375" style="1" customWidth="1"/>
    <col min="8" max="8" width="20.77734375" style="1" customWidth="1"/>
    <col min="9" max="9" width="10.77734375" style="1" customWidth="1"/>
    <col min="10" max="16384" width="12.109375" style="1"/>
  </cols>
  <sheetData>
    <row r="1" spans="1:8">
      <c r="A1" s="33" t="s">
        <v>132</v>
      </c>
      <c r="B1" s="33"/>
      <c r="C1" s="33"/>
      <c r="D1" s="33"/>
      <c r="E1" s="38"/>
      <c r="F1" s="38"/>
      <c r="G1" s="38"/>
      <c r="H1" s="38"/>
    </row>
    <row r="2" spans="1:8">
      <c r="A2" s="31" t="s">
        <v>1003</v>
      </c>
      <c r="B2" s="34"/>
      <c r="C2" s="34"/>
      <c r="D2" s="34"/>
      <c r="E2" s="37"/>
      <c r="F2" s="37"/>
      <c r="G2" s="37"/>
      <c r="H2" s="37"/>
    </row>
    <row r="3" spans="1:8">
      <c r="A3" s="31" t="s">
        <v>1004</v>
      </c>
      <c r="B3" s="34"/>
      <c r="C3" s="34"/>
      <c r="D3" s="34"/>
      <c r="E3" s="37"/>
      <c r="F3" s="37"/>
      <c r="G3" s="37"/>
      <c r="H3" s="37"/>
    </row>
    <row r="5" spans="1:8" ht="28.8">
      <c r="A5" s="54" t="s">
        <v>2</v>
      </c>
      <c r="B5" s="54" t="s">
        <v>895</v>
      </c>
      <c r="C5" s="54" t="s">
        <v>903</v>
      </c>
      <c r="D5" s="57" t="s">
        <v>258</v>
      </c>
      <c r="E5" s="57" t="s">
        <v>1002</v>
      </c>
      <c r="G5" s="1" t="s">
        <v>895</v>
      </c>
      <c r="H5" s="1" t="s">
        <v>896</v>
      </c>
    </row>
    <row r="6" spans="1:8">
      <c r="A6" s="18" t="s">
        <v>905</v>
      </c>
      <c r="B6" s="91">
        <v>19</v>
      </c>
      <c r="C6" s="20"/>
      <c r="D6" s="18" t="str">
        <f>_xlfn.XLOOKUP(_5.1.Filtrer_par_tranches[[#This Row],[Âge]],_5.2.Filtrer_par_tranches[Âge],_5.2.Filtrer_par_tranches[Tranche],,-1)</f>
        <v>15-24 ans</v>
      </c>
      <c r="E6" s="18" t="str">
        <f>VLOOKUP(_5.1.Filtrer_par_tranches[[#This Row],[Âge]],_5.2.Filtrer_par_tranches[],2)</f>
        <v>15-24 ans</v>
      </c>
      <c r="G6" s="56">
        <v>0</v>
      </c>
      <c r="H6" s="1" t="s">
        <v>904</v>
      </c>
    </row>
    <row r="7" spans="1:8">
      <c r="A7" s="18" t="s">
        <v>953</v>
      </c>
      <c r="B7" s="91">
        <v>40</v>
      </c>
      <c r="C7" s="20"/>
      <c r="D7" s="18" t="str">
        <f>_xlfn.XLOOKUP(_5.1.Filtrer_par_tranches[[#This Row],[Âge]],_5.2.Filtrer_par_tranches[Âge],_5.2.Filtrer_par_tranches[Tranche],,-1)</f>
        <v>35-44 ans</v>
      </c>
      <c r="E7" s="18" t="str">
        <f>VLOOKUP(_5.1.Filtrer_par_tranches[[#This Row],[Âge]],_5.2.Filtrer_par_tranches[],2)</f>
        <v>35-44 ans</v>
      </c>
      <c r="G7" s="56">
        <v>15</v>
      </c>
      <c r="H7" s="1" t="s">
        <v>897</v>
      </c>
    </row>
    <row r="8" spans="1:8">
      <c r="A8" s="18" t="s">
        <v>954</v>
      </c>
      <c r="B8" s="91">
        <v>16</v>
      </c>
      <c r="C8" s="20"/>
      <c r="D8" s="18" t="str">
        <f>_xlfn.XLOOKUP(_5.1.Filtrer_par_tranches[[#This Row],[Âge]],_5.2.Filtrer_par_tranches[Âge],_5.2.Filtrer_par_tranches[Tranche],,-1)</f>
        <v>15-24 ans</v>
      </c>
      <c r="E8" s="18" t="str">
        <f>VLOOKUP(_5.1.Filtrer_par_tranches[[#This Row],[Âge]],_5.2.Filtrer_par_tranches[],2)</f>
        <v>15-24 ans</v>
      </c>
      <c r="G8" s="56">
        <v>25</v>
      </c>
      <c r="H8" s="1" t="s">
        <v>898</v>
      </c>
    </row>
    <row r="9" spans="1:8">
      <c r="A9" s="18" t="s">
        <v>906</v>
      </c>
      <c r="B9" s="91">
        <v>10</v>
      </c>
      <c r="C9" s="20"/>
      <c r="D9" s="18" t="str">
        <f>_xlfn.XLOOKUP(_5.1.Filtrer_par_tranches[[#This Row],[Âge]],_5.2.Filtrer_par_tranches[Âge],_5.2.Filtrer_par_tranches[Tranche],,-1)</f>
        <v>0-14 ans</v>
      </c>
      <c r="E9" s="18" t="str">
        <f>VLOOKUP(_5.1.Filtrer_par_tranches[[#This Row],[Âge]],_5.2.Filtrer_par_tranches[],2)</f>
        <v>0-14 ans</v>
      </c>
      <c r="G9" s="56">
        <v>35</v>
      </c>
      <c r="H9" s="1" t="s">
        <v>899</v>
      </c>
    </row>
    <row r="10" spans="1:8">
      <c r="A10" s="18" t="s">
        <v>955</v>
      </c>
      <c r="B10" s="91">
        <v>56</v>
      </c>
      <c r="C10" s="20"/>
      <c r="D10" s="18" t="str">
        <f>_xlfn.XLOOKUP(_5.1.Filtrer_par_tranches[[#This Row],[Âge]],_5.2.Filtrer_par_tranches[Âge],_5.2.Filtrer_par_tranches[Tranche],,-1)</f>
        <v>55-64 ans</v>
      </c>
      <c r="E10" s="18" t="str">
        <f>VLOOKUP(_5.1.Filtrer_par_tranches[[#This Row],[Âge]],_5.2.Filtrer_par_tranches[],2)</f>
        <v>55-64 ans</v>
      </c>
      <c r="G10" s="56">
        <v>45</v>
      </c>
      <c r="H10" s="1" t="s">
        <v>900</v>
      </c>
    </row>
    <row r="11" spans="1:8">
      <c r="A11" s="18" t="s">
        <v>956</v>
      </c>
      <c r="B11" s="91">
        <v>80</v>
      </c>
      <c r="C11" s="20"/>
      <c r="D11" s="18" t="str">
        <f>_xlfn.XLOOKUP(_5.1.Filtrer_par_tranches[[#This Row],[Âge]],_5.2.Filtrer_par_tranches[Âge],_5.2.Filtrer_par_tranches[Tranche],,-1)</f>
        <v>Plus de 65 ans</v>
      </c>
      <c r="E11" s="18" t="str">
        <f>VLOOKUP(_5.1.Filtrer_par_tranches[[#This Row],[Âge]],_5.2.Filtrer_par_tranches[],2)</f>
        <v>Plus de 65 ans</v>
      </c>
      <c r="G11" s="56">
        <v>55</v>
      </c>
      <c r="H11" s="1" t="s">
        <v>901</v>
      </c>
    </row>
    <row r="12" spans="1:8">
      <c r="A12" s="18" t="s">
        <v>957</v>
      </c>
      <c r="B12" s="91">
        <v>39</v>
      </c>
      <c r="C12" s="20"/>
      <c r="D12" s="18" t="str">
        <f>_xlfn.XLOOKUP(_5.1.Filtrer_par_tranches[[#This Row],[Âge]],_5.2.Filtrer_par_tranches[Âge],_5.2.Filtrer_par_tranches[Tranche],,-1)</f>
        <v>35-44 ans</v>
      </c>
      <c r="E12" s="18" t="str">
        <f>VLOOKUP(_5.1.Filtrer_par_tranches[[#This Row],[Âge]],_5.2.Filtrer_par_tranches[],2)</f>
        <v>35-44 ans</v>
      </c>
      <c r="G12" s="56">
        <v>65</v>
      </c>
      <c r="H12" s="1" t="s">
        <v>902</v>
      </c>
    </row>
    <row r="13" spans="1:8">
      <c r="A13" s="18" t="s">
        <v>958</v>
      </c>
      <c r="B13" s="91">
        <v>88</v>
      </c>
      <c r="C13" s="20"/>
      <c r="D13" s="18" t="str">
        <f>_xlfn.XLOOKUP(_5.1.Filtrer_par_tranches[[#This Row],[Âge]],_5.2.Filtrer_par_tranches[Âge],_5.2.Filtrer_par_tranches[Tranche],,-1)</f>
        <v>Plus de 65 ans</v>
      </c>
      <c r="E13" s="18" t="str">
        <f>VLOOKUP(_5.1.Filtrer_par_tranches[[#This Row],[Âge]],_5.2.Filtrer_par_tranches[],2)</f>
        <v>Plus de 65 ans</v>
      </c>
    </row>
    <row r="14" spans="1:8">
      <c r="A14" s="18" t="s">
        <v>959</v>
      </c>
      <c r="B14" s="91">
        <v>53</v>
      </c>
      <c r="C14" s="20"/>
      <c r="D14" s="18" t="str">
        <f>_xlfn.XLOOKUP(_5.1.Filtrer_par_tranches[[#This Row],[Âge]],_5.2.Filtrer_par_tranches[Âge],_5.2.Filtrer_par_tranches[Tranche],,-1)</f>
        <v>45-54 ans</v>
      </c>
      <c r="E14" s="18" t="str">
        <f>VLOOKUP(_5.1.Filtrer_par_tranches[[#This Row],[Âge]],_5.2.Filtrer_par_tranches[],2)</f>
        <v>45-54 ans</v>
      </c>
    </row>
    <row r="15" spans="1:8">
      <c r="A15" s="18" t="s">
        <v>907</v>
      </c>
      <c r="B15" s="91">
        <v>25</v>
      </c>
      <c r="C15" s="20"/>
      <c r="D15" s="18" t="str">
        <f>_xlfn.XLOOKUP(_5.1.Filtrer_par_tranches[[#This Row],[Âge]],_5.2.Filtrer_par_tranches[Âge],_5.2.Filtrer_par_tranches[Tranche],,-1)</f>
        <v>25-34 ans</v>
      </c>
      <c r="E15" s="18" t="str">
        <f>VLOOKUP(_5.1.Filtrer_par_tranches[[#This Row],[Âge]],_5.2.Filtrer_par_tranches[],2)</f>
        <v>25-34 ans</v>
      </c>
    </row>
    <row r="16" spans="1:8">
      <c r="A16" s="18" t="s">
        <v>960</v>
      </c>
      <c r="B16" s="91">
        <v>6</v>
      </c>
      <c r="C16" s="20"/>
      <c r="D16" s="18" t="str">
        <f>_xlfn.XLOOKUP(_5.1.Filtrer_par_tranches[[#This Row],[Âge]],_5.2.Filtrer_par_tranches[Âge],_5.2.Filtrer_par_tranches[Tranche],,-1)</f>
        <v>0-14 ans</v>
      </c>
      <c r="E16" s="18" t="str">
        <f>VLOOKUP(_5.1.Filtrer_par_tranches[[#This Row],[Âge]],_5.2.Filtrer_par_tranches[],2)</f>
        <v>0-14 ans</v>
      </c>
    </row>
    <row r="17" spans="1:5">
      <c r="A17" s="18" t="s">
        <v>908</v>
      </c>
      <c r="B17" s="91">
        <v>97</v>
      </c>
      <c r="C17" s="20"/>
      <c r="D17" s="18" t="str">
        <f>_xlfn.XLOOKUP(_5.1.Filtrer_par_tranches[[#This Row],[Âge]],_5.2.Filtrer_par_tranches[Âge],_5.2.Filtrer_par_tranches[Tranche],,-1)</f>
        <v>Plus de 65 ans</v>
      </c>
      <c r="E17" s="18" t="str">
        <f>VLOOKUP(_5.1.Filtrer_par_tranches[[#This Row],[Âge]],_5.2.Filtrer_par_tranches[],2)</f>
        <v>Plus de 65 ans</v>
      </c>
    </row>
    <row r="18" spans="1:5">
      <c r="A18" s="18" t="s">
        <v>909</v>
      </c>
      <c r="B18" s="91">
        <v>88</v>
      </c>
      <c r="C18" s="20"/>
      <c r="D18" s="18" t="str">
        <f>_xlfn.XLOOKUP(_5.1.Filtrer_par_tranches[[#This Row],[Âge]],_5.2.Filtrer_par_tranches[Âge],_5.2.Filtrer_par_tranches[Tranche],,-1)</f>
        <v>Plus de 65 ans</v>
      </c>
      <c r="E18" s="18" t="str">
        <f>VLOOKUP(_5.1.Filtrer_par_tranches[[#This Row],[Âge]],_5.2.Filtrer_par_tranches[],2)</f>
        <v>Plus de 65 ans</v>
      </c>
    </row>
    <row r="19" spans="1:5">
      <c r="A19" s="18" t="s">
        <v>961</v>
      </c>
      <c r="B19" s="91">
        <v>48</v>
      </c>
      <c r="C19" s="20"/>
      <c r="D19" s="18" t="str">
        <f>_xlfn.XLOOKUP(_5.1.Filtrer_par_tranches[[#This Row],[Âge]],_5.2.Filtrer_par_tranches[Âge],_5.2.Filtrer_par_tranches[Tranche],,-1)</f>
        <v>45-54 ans</v>
      </c>
      <c r="E19" s="18" t="str">
        <f>VLOOKUP(_5.1.Filtrer_par_tranches[[#This Row],[Âge]],_5.2.Filtrer_par_tranches[],2)</f>
        <v>45-54 ans</v>
      </c>
    </row>
    <row r="20" spans="1:5">
      <c r="A20" s="18" t="s">
        <v>962</v>
      </c>
      <c r="B20" s="91">
        <v>32</v>
      </c>
      <c r="C20" s="20"/>
      <c r="D20" s="18" t="str">
        <f>_xlfn.XLOOKUP(_5.1.Filtrer_par_tranches[[#This Row],[Âge]],_5.2.Filtrer_par_tranches[Âge],_5.2.Filtrer_par_tranches[Tranche],,-1)</f>
        <v>25-34 ans</v>
      </c>
      <c r="E20" s="18" t="str">
        <f>VLOOKUP(_5.1.Filtrer_par_tranches[[#This Row],[Âge]],_5.2.Filtrer_par_tranches[],2)</f>
        <v>25-34 ans</v>
      </c>
    </row>
    <row r="21" spans="1:5">
      <c r="A21" s="18" t="s">
        <v>963</v>
      </c>
      <c r="B21" s="91">
        <v>99</v>
      </c>
      <c r="C21" s="20"/>
      <c r="D21" s="18" t="str">
        <f>_xlfn.XLOOKUP(_5.1.Filtrer_par_tranches[[#This Row],[Âge]],_5.2.Filtrer_par_tranches[Âge],_5.2.Filtrer_par_tranches[Tranche],,-1)</f>
        <v>Plus de 65 ans</v>
      </c>
      <c r="E21" s="18" t="str">
        <f>VLOOKUP(_5.1.Filtrer_par_tranches[[#This Row],[Âge]],_5.2.Filtrer_par_tranches[],2)</f>
        <v>Plus de 65 ans</v>
      </c>
    </row>
    <row r="22" spans="1:5">
      <c r="A22" s="18" t="s">
        <v>43</v>
      </c>
      <c r="B22" s="91">
        <v>58</v>
      </c>
      <c r="C22" s="20"/>
      <c r="D22" s="18" t="str">
        <f>_xlfn.XLOOKUP(_5.1.Filtrer_par_tranches[[#This Row],[Âge]],_5.2.Filtrer_par_tranches[Âge],_5.2.Filtrer_par_tranches[Tranche],,-1)</f>
        <v>55-64 ans</v>
      </c>
      <c r="E22" s="18" t="str">
        <f>VLOOKUP(_5.1.Filtrer_par_tranches[[#This Row],[Âge]],_5.2.Filtrer_par_tranches[],2)</f>
        <v>55-64 ans</v>
      </c>
    </row>
    <row r="23" spans="1:5">
      <c r="A23" s="18" t="s">
        <v>964</v>
      </c>
      <c r="B23" s="91">
        <v>47</v>
      </c>
      <c r="C23" s="20"/>
      <c r="D23" s="18" t="str">
        <f>_xlfn.XLOOKUP(_5.1.Filtrer_par_tranches[[#This Row],[Âge]],_5.2.Filtrer_par_tranches[Âge],_5.2.Filtrer_par_tranches[Tranche],,-1)</f>
        <v>45-54 ans</v>
      </c>
      <c r="E23" s="18" t="str">
        <f>VLOOKUP(_5.1.Filtrer_par_tranches[[#This Row],[Âge]],_5.2.Filtrer_par_tranches[],2)</f>
        <v>45-54 ans</v>
      </c>
    </row>
    <row r="24" spans="1:5">
      <c r="A24" s="18" t="s">
        <v>965</v>
      </c>
      <c r="B24" s="91">
        <v>14</v>
      </c>
      <c r="C24" s="20"/>
      <c r="D24" s="18" t="str">
        <f>_xlfn.XLOOKUP(_5.1.Filtrer_par_tranches[[#This Row],[Âge]],_5.2.Filtrer_par_tranches[Âge],_5.2.Filtrer_par_tranches[Tranche],,-1)</f>
        <v>0-14 ans</v>
      </c>
      <c r="E24" s="18" t="str">
        <f>VLOOKUP(_5.1.Filtrer_par_tranches[[#This Row],[Âge]],_5.2.Filtrer_par_tranches[],2)</f>
        <v>0-14 ans</v>
      </c>
    </row>
    <row r="25" spans="1:5">
      <c r="A25" s="18" t="s">
        <v>966</v>
      </c>
      <c r="B25" s="91">
        <v>84</v>
      </c>
      <c r="C25" s="20"/>
      <c r="D25" s="18" t="str">
        <f>_xlfn.XLOOKUP(_5.1.Filtrer_par_tranches[[#This Row],[Âge]],_5.2.Filtrer_par_tranches[Âge],_5.2.Filtrer_par_tranches[Tranche],,-1)</f>
        <v>Plus de 65 ans</v>
      </c>
      <c r="E25" s="18" t="str">
        <f>VLOOKUP(_5.1.Filtrer_par_tranches[[#This Row],[Âge]],_5.2.Filtrer_par_tranches[],2)</f>
        <v>Plus de 65 ans</v>
      </c>
    </row>
    <row r="26" spans="1:5">
      <c r="A26" s="18" t="s">
        <v>45</v>
      </c>
      <c r="B26" s="91">
        <v>51</v>
      </c>
      <c r="C26" s="20"/>
      <c r="D26" s="18" t="str">
        <f>_xlfn.XLOOKUP(_5.1.Filtrer_par_tranches[[#This Row],[Âge]],_5.2.Filtrer_par_tranches[Âge],_5.2.Filtrer_par_tranches[Tranche],,-1)</f>
        <v>45-54 ans</v>
      </c>
      <c r="E26" s="18" t="str">
        <f>VLOOKUP(_5.1.Filtrer_par_tranches[[#This Row],[Âge]],_5.2.Filtrer_par_tranches[],2)</f>
        <v>45-54 ans</v>
      </c>
    </row>
    <row r="27" spans="1:5">
      <c r="A27" s="18" t="s">
        <v>967</v>
      </c>
      <c r="B27" s="91">
        <v>68</v>
      </c>
      <c r="C27" s="20"/>
      <c r="D27" s="18" t="str">
        <f>_xlfn.XLOOKUP(_5.1.Filtrer_par_tranches[[#This Row],[Âge]],_5.2.Filtrer_par_tranches[Âge],_5.2.Filtrer_par_tranches[Tranche],,-1)</f>
        <v>Plus de 65 ans</v>
      </c>
      <c r="E27" s="18" t="str">
        <f>VLOOKUP(_5.1.Filtrer_par_tranches[[#This Row],[Âge]],_5.2.Filtrer_par_tranches[],2)</f>
        <v>Plus de 65 ans</v>
      </c>
    </row>
    <row r="28" spans="1:5">
      <c r="A28" s="18" t="s">
        <v>910</v>
      </c>
      <c r="B28" s="91">
        <v>48</v>
      </c>
      <c r="C28" s="20"/>
      <c r="D28" s="18" t="str">
        <f>_xlfn.XLOOKUP(_5.1.Filtrer_par_tranches[[#This Row],[Âge]],_5.2.Filtrer_par_tranches[Âge],_5.2.Filtrer_par_tranches[Tranche],,-1)</f>
        <v>45-54 ans</v>
      </c>
      <c r="E28" s="18" t="str">
        <f>VLOOKUP(_5.1.Filtrer_par_tranches[[#This Row],[Âge]],_5.2.Filtrer_par_tranches[],2)</f>
        <v>45-54 ans</v>
      </c>
    </row>
    <row r="29" spans="1:5">
      <c r="A29" s="18" t="s">
        <v>968</v>
      </c>
      <c r="B29" s="91">
        <v>100</v>
      </c>
      <c r="C29" s="20"/>
      <c r="D29" s="18" t="str">
        <f>_xlfn.XLOOKUP(_5.1.Filtrer_par_tranches[[#This Row],[Âge]],_5.2.Filtrer_par_tranches[Âge],_5.2.Filtrer_par_tranches[Tranche],,-1)</f>
        <v>Plus de 65 ans</v>
      </c>
      <c r="E29" s="18" t="str">
        <f>VLOOKUP(_5.1.Filtrer_par_tranches[[#This Row],[Âge]],_5.2.Filtrer_par_tranches[],2)</f>
        <v>Plus de 65 ans</v>
      </c>
    </row>
    <row r="30" spans="1:5">
      <c r="A30" s="18" t="s">
        <v>911</v>
      </c>
      <c r="B30" s="91">
        <v>90</v>
      </c>
      <c r="C30" s="20"/>
      <c r="D30" s="18" t="str">
        <f>_xlfn.XLOOKUP(_5.1.Filtrer_par_tranches[[#This Row],[Âge]],_5.2.Filtrer_par_tranches[Âge],_5.2.Filtrer_par_tranches[Tranche],,-1)</f>
        <v>Plus de 65 ans</v>
      </c>
      <c r="E30" s="18" t="str">
        <f>VLOOKUP(_5.1.Filtrer_par_tranches[[#This Row],[Âge]],_5.2.Filtrer_par_tranches[],2)</f>
        <v>Plus de 65 ans</v>
      </c>
    </row>
    <row r="31" spans="1:5">
      <c r="A31" s="18" t="s">
        <v>912</v>
      </c>
      <c r="B31" s="91">
        <v>74</v>
      </c>
      <c r="C31" s="20"/>
      <c r="D31" s="18" t="str">
        <f>_xlfn.XLOOKUP(_5.1.Filtrer_par_tranches[[#This Row],[Âge]],_5.2.Filtrer_par_tranches[Âge],_5.2.Filtrer_par_tranches[Tranche],,-1)</f>
        <v>Plus de 65 ans</v>
      </c>
      <c r="E31" s="18" t="str">
        <f>VLOOKUP(_5.1.Filtrer_par_tranches[[#This Row],[Âge]],_5.2.Filtrer_par_tranches[],2)</f>
        <v>Plus de 65 ans</v>
      </c>
    </row>
    <row r="32" spans="1:5">
      <c r="A32" s="18" t="s">
        <v>969</v>
      </c>
      <c r="B32" s="91">
        <v>3</v>
      </c>
      <c r="C32" s="20"/>
      <c r="D32" s="18" t="str">
        <f>_xlfn.XLOOKUP(_5.1.Filtrer_par_tranches[[#This Row],[Âge]],_5.2.Filtrer_par_tranches[Âge],_5.2.Filtrer_par_tranches[Tranche],,-1)</f>
        <v>0-14 ans</v>
      </c>
      <c r="E32" s="18" t="str">
        <f>VLOOKUP(_5.1.Filtrer_par_tranches[[#This Row],[Âge]],_5.2.Filtrer_par_tranches[],2)</f>
        <v>0-14 ans</v>
      </c>
    </row>
    <row r="33" spans="1:5">
      <c r="A33" s="18" t="s">
        <v>913</v>
      </c>
      <c r="B33" s="91">
        <v>21</v>
      </c>
      <c r="C33" s="20"/>
      <c r="D33" s="18" t="str">
        <f>_xlfn.XLOOKUP(_5.1.Filtrer_par_tranches[[#This Row],[Âge]],_5.2.Filtrer_par_tranches[Âge],_5.2.Filtrer_par_tranches[Tranche],,-1)</f>
        <v>15-24 ans</v>
      </c>
      <c r="E33" s="18" t="str">
        <f>VLOOKUP(_5.1.Filtrer_par_tranches[[#This Row],[Âge]],_5.2.Filtrer_par_tranches[],2)</f>
        <v>15-24 ans</v>
      </c>
    </row>
    <row r="34" spans="1:5">
      <c r="A34" s="18" t="s">
        <v>970</v>
      </c>
      <c r="B34" s="91">
        <v>86</v>
      </c>
      <c r="C34" s="20"/>
      <c r="D34" s="18" t="str">
        <f>_xlfn.XLOOKUP(_5.1.Filtrer_par_tranches[[#This Row],[Âge]],_5.2.Filtrer_par_tranches[Âge],_5.2.Filtrer_par_tranches[Tranche],,-1)</f>
        <v>Plus de 65 ans</v>
      </c>
      <c r="E34" s="18" t="str">
        <f>VLOOKUP(_5.1.Filtrer_par_tranches[[#This Row],[Âge]],_5.2.Filtrer_par_tranches[],2)</f>
        <v>Plus de 65 ans</v>
      </c>
    </row>
    <row r="35" spans="1:5">
      <c r="A35" s="18" t="s">
        <v>971</v>
      </c>
      <c r="B35" s="91">
        <v>45</v>
      </c>
      <c r="C35" s="20"/>
      <c r="D35" s="18" t="str">
        <f>_xlfn.XLOOKUP(_5.1.Filtrer_par_tranches[[#This Row],[Âge]],_5.2.Filtrer_par_tranches[Âge],_5.2.Filtrer_par_tranches[Tranche],,-1)</f>
        <v>45-54 ans</v>
      </c>
      <c r="E35" s="18" t="str">
        <f>VLOOKUP(_5.1.Filtrer_par_tranches[[#This Row],[Âge]],_5.2.Filtrer_par_tranches[],2)</f>
        <v>45-54 ans</v>
      </c>
    </row>
    <row r="36" spans="1:5">
      <c r="A36" s="18" t="s">
        <v>972</v>
      </c>
      <c r="B36" s="91">
        <v>23</v>
      </c>
      <c r="C36" s="20"/>
      <c r="D36" s="18" t="str">
        <f>_xlfn.XLOOKUP(_5.1.Filtrer_par_tranches[[#This Row],[Âge]],_5.2.Filtrer_par_tranches[Âge],_5.2.Filtrer_par_tranches[Tranche],,-1)</f>
        <v>15-24 ans</v>
      </c>
      <c r="E36" s="18" t="str">
        <f>VLOOKUP(_5.1.Filtrer_par_tranches[[#This Row],[Âge]],_5.2.Filtrer_par_tranches[],2)</f>
        <v>15-24 ans</v>
      </c>
    </row>
    <row r="37" spans="1:5">
      <c r="A37" s="18" t="s">
        <v>914</v>
      </c>
      <c r="B37" s="91">
        <v>97</v>
      </c>
      <c r="C37" s="20"/>
      <c r="D37" s="18" t="str">
        <f>_xlfn.XLOOKUP(_5.1.Filtrer_par_tranches[[#This Row],[Âge]],_5.2.Filtrer_par_tranches[Âge],_5.2.Filtrer_par_tranches[Tranche],,-1)</f>
        <v>Plus de 65 ans</v>
      </c>
      <c r="E37" s="18" t="str">
        <f>VLOOKUP(_5.1.Filtrer_par_tranches[[#This Row],[Âge]],_5.2.Filtrer_par_tranches[],2)</f>
        <v>Plus de 65 ans</v>
      </c>
    </row>
    <row r="38" spans="1:5">
      <c r="A38" s="18" t="s">
        <v>973</v>
      </c>
      <c r="B38" s="91">
        <v>54</v>
      </c>
      <c r="C38" s="20"/>
      <c r="D38" s="18" t="str">
        <f>_xlfn.XLOOKUP(_5.1.Filtrer_par_tranches[[#This Row],[Âge]],_5.2.Filtrer_par_tranches[Âge],_5.2.Filtrer_par_tranches[Tranche],,-1)</f>
        <v>45-54 ans</v>
      </c>
      <c r="E38" s="18" t="str">
        <f>VLOOKUP(_5.1.Filtrer_par_tranches[[#This Row],[Âge]],_5.2.Filtrer_par_tranches[],2)</f>
        <v>45-54 ans</v>
      </c>
    </row>
    <row r="39" spans="1:5">
      <c r="A39" s="18" t="s">
        <v>974</v>
      </c>
      <c r="B39" s="91">
        <v>89</v>
      </c>
      <c r="C39" s="20"/>
      <c r="D39" s="18" t="str">
        <f>_xlfn.XLOOKUP(_5.1.Filtrer_par_tranches[[#This Row],[Âge]],_5.2.Filtrer_par_tranches[Âge],_5.2.Filtrer_par_tranches[Tranche],,-1)</f>
        <v>Plus de 65 ans</v>
      </c>
      <c r="E39" s="18" t="str">
        <f>VLOOKUP(_5.1.Filtrer_par_tranches[[#This Row],[Âge]],_5.2.Filtrer_par_tranches[],2)</f>
        <v>Plus de 65 ans</v>
      </c>
    </row>
    <row r="40" spans="1:5">
      <c r="A40" s="18" t="s">
        <v>915</v>
      </c>
      <c r="B40" s="91">
        <v>80</v>
      </c>
      <c r="C40" s="20"/>
      <c r="D40" s="18" t="str">
        <f>_xlfn.XLOOKUP(_5.1.Filtrer_par_tranches[[#This Row],[Âge]],_5.2.Filtrer_par_tranches[Âge],_5.2.Filtrer_par_tranches[Tranche],,-1)</f>
        <v>Plus de 65 ans</v>
      </c>
      <c r="E40" s="18" t="str">
        <f>VLOOKUP(_5.1.Filtrer_par_tranches[[#This Row],[Âge]],_5.2.Filtrer_par_tranches[],2)</f>
        <v>Plus de 65 ans</v>
      </c>
    </row>
    <row r="41" spans="1:5">
      <c r="A41" s="18" t="s">
        <v>975</v>
      </c>
      <c r="B41" s="91">
        <v>59</v>
      </c>
      <c r="C41" s="20"/>
      <c r="D41" s="18" t="str">
        <f>_xlfn.XLOOKUP(_5.1.Filtrer_par_tranches[[#This Row],[Âge]],_5.2.Filtrer_par_tranches[Âge],_5.2.Filtrer_par_tranches[Tranche],,-1)</f>
        <v>55-64 ans</v>
      </c>
      <c r="E41" s="18" t="str">
        <f>VLOOKUP(_5.1.Filtrer_par_tranches[[#This Row],[Âge]],_5.2.Filtrer_par_tranches[],2)</f>
        <v>55-64 ans</v>
      </c>
    </row>
    <row r="42" spans="1:5">
      <c r="A42" s="18" t="s">
        <v>916</v>
      </c>
      <c r="B42" s="91">
        <v>90</v>
      </c>
      <c r="C42" s="20"/>
      <c r="D42" s="18" t="str">
        <f>_xlfn.XLOOKUP(_5.1.Filtrer_par_tranches[[#This Row],[Âge]],_5.2.Filtrer_par_tranches[Âge],_5.2.Filtrer_par_tranches[Tranche],,-1)</f>
        <v>Plus de 65 ans</v>
      </c>
      <c r="E42" s="18" t="str">
        <f>VLOOKUP(_5.1.Filtrer_par_tranches[[#This Row],[Âge]],_5.2.Filtrer_par_tranches[],2)</f>
        <v>Plus de 65 ans</v>
      </c>
    </row>
    <row r="43" spans="1:5">
      <c r="A43" s="18" t="s">
        <v>917</v>
      </c>
      <c r="B43" s="91">
        <v>29</v>
      </c>
      <c r="C43" s="20"/>
      <c r="D43" s="18" t="str">
        <f>_xlfn.XLOOKUP(_5.1.Filtrer_par_tranches[[#This Row],[Âge]],_5.2.Filtrer_par_tranches[Âge],_5.2.Filtrer_par_tranches[Tranche],,-1)</f>
        <v>25-34 ans</v>
      </c>
      <c r="E43" s="18" t="str">
        <f>VLOOKUP(_5.1.Filtrer_par_tranches[[#This Row],[Âge]],_5.2.Filtrer_par_tranches[],2)</f>
        <v>25-34 ans</v>
      </c>
    </row>
    <row r="44" spans="1:5">
      <c r="A44" s="18" t="s">
        <v>976</v>
      </c>
      <c r="B44" s="91">
        <v>33</v>
      </c>
      <c r="C44" s="20"/>
      <c r="D44" s="18" t="str">
        <f>_xlfn.XLOOKUP(_5.1.Filtrer_par_tranches[[#This Row],[Âge]],_5.2.Filtrer_par_tranches[Âge],_5.2.Filtrer_par_tranches[Tranche],,-1)</f>
        <v>25-34 ans</v>
      </c>
      <c r="E44" s="18" t="str">
        <f>VLOOKUP(_5.1.Filtrer_par_tranches[[#This Row],[Âge]],_5.2.Filtrer_par_tranches[],2)</f>
        <v>25-34 ans</v>
      </c>
    </row>
    <row r="45" spans="1:5">
      <c r="A45" s="18" t="s">
        <v>918</v>
      </c>
      <c r="B45" s="91">
        <v>67</v>
      </c>
      <c r="C45" s="20"/>
      <c r="D45" s="18" t="str">
        <f>_xlfn.XLOOKUP(_5.1.Filtrer_par_tranches[[#This Row],[Âge]],_5.2.Filtrer_par_tranches[Âge],_5.2.Filtrer_par_tranches[Tranche],,-1)</f>
        <v>Plus de 65 ans</v>
      </c>
      <c r="E45" s="18" t="str">
        <f>VLOOKUP(_5.1.Filtrer_par_tranches[[#This Row],[Âge]],_5.2.Filtrer_par_tranches[],2)</f>
        <v>Plus de 65 ans</v>
      </c>
    </row>
    <row r="46" spans="1:5">
      <c r="A46" s="18" t="s">
        <v>977</v>
      </c>
      <c r="B46" s="91">
        <v>53</v>
      </c>
      <c r="C46" s="20"/>
      <c r="D46" s="18" t="str">
        <f>_xlfn.XLOOKUP(_5.1.Filtrer_par_tranches[[#This Row],[Âge]],_5.2.Filtrer_par_tranches[Âge],_5.2.Filtrer_par_tranches[Tranche],,-1)</f>
        <v>45-54 ans</v>
      </c>
      <c r="E46" s="18" t="str">
        <f>VLOOKUP(_5.1.Filtrer_par_tranches[[#This Row],[Âge]],_5.2.Filtrer_par_tranches[],2)</f>
        <v>45-54 ans</v>
      </c>
    </row>
    <row r="47" spans="1:5">
      <c r="A47" s="18" t="s">
        <v>919</v>
      </c>
      <c r="B47" s="91">
        <v>65</v>
      </c>
      <c r="C47" s="20"/>
      <c r="D47" s="18" t="str">
        <f>_xlfn.XLOOKUP(_5.1.Filtrer_par_tranches[[#This Row],[Âge]],_5.2.Filtrer_par_tranches[Âge],_5.2.Filtrer_par_tranches[Tranche],,-1)</f>
        <v>Plus de 65 ans</v>
      </c>
      <c r="E47" s="18" t="str">
        <f>VLOOKUP(_5.1.Filtrer_par_tranches[[#This Row],[Âge]],_5.2.Filtrer_par_tranches[],2)</f>
        <v>Plus de 65 ans</v>
      </c>
    </row>
    <row r="48" spans="1:5">
      <c r="A48" s="18" t="s">
        <v>978</v>
      </c>
      <c r="B48" s="91">
        <v>71</v>
      </c>
      <c r="C48" s="20"/>
      <c r="D48" s="18" t="str">
        <f>_xlfn.XLOOKUP(_5.1.Filtrer_par_tranches[[#This Row],[Âge]],_5.2.Filtrer_par_tranches[Âge],_5.2.Filtrer_par_tranches[Tranche],,-1)</f>
        <v>Plus de 65 ans</v>
      </c>
      <c r="E48" s="18" t="str">
        <f>VLOOKUP(_5.1.Filtrer_par_tranches[[#This Row],[Âge]],_5.2.Filtrer_par_tranches[],2)</f>
        <v>Plus de 65 ans</v>
      </c>
    </row>
    <row r="49" spans="1:5">
      <c r="A49" s="18" t="s">
        <v>920</v>
      </c>
      <c r="B49" s="91">
        <v>45</v>
      </c>
      <c r="C49" s="20"/>
      <c r="D49" s="18" t="str">
        <f>_xlfn.XLOOKUP(_5.1.Filtrer_par_tranches[[#This Row],[Âge]],_5.2.Filtrer_par_tranches[Âge],_5.2.Filtrer_par_tranches[Tranche],,-1)</f>
        <v>45-54 ans</v>
      </c>
      <c r="E49" s="18" t="str">
        <f>VLOOKUP(_5.1.Filtrer_par_tranches[[#This Row],[Âge]],_5.2.Filtrer_par_tranches[],2)</f>
        <v>45-54 ans</v>
      </c>
    </row>
    <row r="50" spans="1:5">
      <c r="A50" s="18" t="s">
        <v>979</v>
      </c>
      <c r="B50" s="91">
        <v>86</v>
      </c>
      <c r="C50" s="20"/>
      <c r="D50" s="18" t="str">
        <f>_xlfn.XLOOKUP(_5.1.Filtrer_par_tranches[[#This Row],[Âge]],_5.2.Filtrer_par_tranches[Âge],_5.2.Filtrer_par_tranches[Tranche],,-1)</f>
        <v>Plus de 65 ans</v>
      </c>
      <c r="E50" s="18" t="str">
        <f>VLOOKUP(_5.1.Filtrer_par_tranches[[#This Row],[Âge]],_5.2.Filtrer_par_tranches[],2)</f>
        <v>Plus de 65 ans</v>
      </c>
    </row>
    <row r="51" spans="1:5">
      <c r="A51" s="18" t="s">
        <v>980</v>
      </c>
      <c r="B51" s="91">
        <v>31</v>
      </c>
      <c r="C51" s="20"/>
      <c r="D51" s="18" t="str">
        <f>_xlfn.XLOOKUP(_5.1.Filtrer_par_tranches[[#This Row],[Âge]],_5.2.Filtrer_par_tranches[Âge],_5.2.Filtrer_par_tranches[Tranche],,-1)</f>
        <v>25-34 ans</v>
      </c>
      <c r="E51" s="18" t="str">
        <f>VLOOKUP(_5.1.Filtrer_par_tranches[[#This Row],[Âge]],_5.2.Filtrer_par_tranches[],2)</f>
        <v>25-34 ans</v>
      </c>
    </row>
    <row r="52" spans="1:5">
      <c r="A52" s="18" t="s">
        <v>981</v>
      </c>
      <c r="B52" s="91">
        <v>41</v>
      </c>
      <c r="C52" s="20"/>
      <c r="D52" s="18" t="str">
        <f>_xlfn.XLOOKUP(_5.1.Filtrer_par_tranches[[#This Row],[Âge]],_5.2.Filtrer_par_tranches[Âge],_5.2.Filtrer_par_tranches[Tranche],,-1)</f>
        <v>35-44 ans</v>
      </c>
      <c r="E52" s="18" t="str">
        <f>VLOOKUP(_5.1.Filtrer_par_tranches[[#This Row],[Âge]],_5.2.Filtrer_par_tranches[],2)</f>
        <v>35-44 ans</v>
      </c>
    </row>
    <row r="53" spans="1:5">
      <c r="A53" s="18" t="s">
        <v>921</v>
      </c>
      <c r="B53" s="91">
        <v>28</v>
      </c>
      <c r="C53" s="20"/>
      <c r="D53" s="18" t="str">
        <f>_xlfn.XLOOKUP(_5.1.Filtrer_par_tranches[[#This Row],[Âge]],_5.2.Filtrer_par_tranches[Âge],_5.2.Filtrer_par_tranches[Tranche],,-1)</f>
        <v>25-34 ans</v>
      </c>
      <c r="E53" s="18" t="str">
        <f>VLOOKUP(_5.1.Filtrer_par_tranches[[#This Row],[Âge]],_5.2.Filtrer_par_tranches[],2)</f>
        <v>25-34 ans</v>
      </c>
    </row>
    <row r="54" spans="1:5">
      <c r="A54" s="18" t="s">
        <v>697</v>
      </c>
      <c r="B54" s="91">
        <v>77</v>
      </c>
      <c r="C54" s="20"/>
      <c r="D54" s="18" t="str">
        <f>_xlfn.XLOOKUP(_5.1.Filtrer_par_tranches[[#This Row],[Âge]],_5.2.Filtrer_par_tranches[Âge],_5.2.Filtrer_par_tranches[Tranche],,-1)</f>
        <v>Plus de 65 ans</v>
      </c>
      <c r="E54" s="18" t="str">
        <f>VLOOKUP(_5.1.Filtrer_par_tranches[[#This Row],[Âge]],_5.2.Filtrer_par_tranches[],2)</f>
        <v>Plus de 65 ans</v>
      </c>
    </row>
    <row r="55" spans="1:5">
      <c r="A55" s="18" t="s">
        <v>982</v>
      </c>
      <c r="B55" s="91">
        <v>27</v>
      </c>
      <c r="C55" s="20"/>
      <c r="D55" s="18" t="str">
        <f>_xlfn.XLOOKUP(_5.1.Filtrer_par_tranches[[#This Row],[Âge]],_5.2.Filtrer_par_tranches[Âge],_5.2.Filtrer_par_tranches[Tranche],,-1)</f>
        <v>25-34 ans</v>
      </c>
      <c r="E55" s="18" t="str">
        <f>VLOOKUP(_5.1.Filtrer_par_tranches[[#This Row],[Âge]],_5.2.Filtrer_par_tranches[],2)</f>
        <v>25-34 ans</v>
      </c>
    </row>
    <row r="56" spans="1:5">
      <c r="A56" s="18" t="s">
        <v>922</v>
      </c>
      <c r="B56" s="91">
        <v>83</v>
      </c>
      <c r="C56" s="20"/>
      <c r="D56" s="18" t="str">
        <f>_xlfn.XLOOKUP(_5.1.Filtrer_par_tranches[[#This Row],[Âge]],_5.2.Filtrer_par_tranches[Âge],_5.2.Filtrer_par_tranches[Tranche],,-1)</f>
        <v>Plus de 65 ans</v>
      </c>
      <c r="E56" s="18" t="str">
        <f>VLOOKUP(_5.1.Filtrer_par_tranches[[#This Row],[Âge]],_5.2.Filtrer_par_tranches[],2)</f>
        <v>Plus de 65 ans</v>
      </c>
    </row>
    <row r="57" spans="1:5">
      <c r="A57" s="18" t="s">
        <v>983</v>
      </c>
      <c r="B57" s="91">
        <v>72</v>
      </c>
      <c r="C57" s="20"/>
      <c r="D57" s="18" t="str">
        <f>_xlfn.XLOOKUP(_5.1.Filtrer_par_tranches[[#This Row],[Âge]],_5.2.Filtrer_par_tranches[Âge],_5.2.Filtrer_par_tranches[Tranche],,-1)</f>
        <v>Plus de 65 ans</v>
      </c>
      <c r="E57" s="18" t="str">
        <f>VLOOKUP(_5.1.Filtrer_par_tranches[[#This Row],[Âge]],_5.2.Filtrer_par_tranches[],2)</f>
        <v>Plus de 65 ans</v>
      </c>
    </row>
    <row r="58" spans="1:5">
      <c r="A58" s="18" t="s">
        <v>923</v>
      </c>
      <c r="B58" s="91">
        <v>59</v>
      </c>
      <c r="C58" s="20"/>
      <c r="D58" s="18" t="str">
        <f>_xlfn.XLOOKUP(_5.1.Filtrer_par_tranches[[#This Row],[Âge]],_5.2.Filtrer_par_tranches[Âge],_5.2.Filtrer_par_tranches[Tranche],,-1)</f>
        <v>55-64 ans</v>
      </c>
      <c r="E58" s="18" t="str">
        <f>VLOOKUP(_5.1.Filtrer_par_tranches[[#This Row],[Âge]],_5.2.Filtrer_par_tranches[],2)</f>
        <v>55-64 ans</v>
      </c>
    </row>
    <row r="59" spans="1:5">
      <c r="A59" s="18" t="s">
        <v>984</v>
      </c>
      <c r="B59" s="91">
        <v>71</v>
      </c>
      <c r="C59" s="20"/>
      <c r="D59" s="18" t="str">
        <f>_xlfn.XLOOKUP(_5.1.Filtrer_par_tranches[[#This Row],[Âge]],_5.2.Filtrer_par_tranches[Âge],_5.2.Filtrer_par_tranches[Tranche],,-1)</f>
        <v>Plus de 65 ans</v>
      </c>
      <c r="E59" s="18" t="str">
        <f>VLOOKUP(_5.1.Filtrer_par_tranches[[#This Row],[Âge]],_5.2.Filtrer_par_tranches[],2)</f>
        <v>Plus de 65 ans</v>
      </c>
    </row>
    <row r="60" spans="1:5">
      <c r="A60" s="18" t="s">
        <v>985</v>
      </c>
      <c r="B60" s="91">
        <v>67</v>
      </c>
      <c r="C60" s="20"/>
      <c r="D60" s="18" t="str">
        <f>_xlfn.XLOOKUP(_5.1.Filtrer_par_tranches[[#This Row],[Âge]],_5.2.Filtrer_par_tranches[Âge],_5.2.Filtrer_par_tranches[Tranche],,-1)</f>
        <v>Plus de 65 ans</v>
      </c>
      <c r="E60" s="18" t="str">
        <f>VLOOKUP(_5.1.Filtrer_par_tranches[[#This Row],[Âge]],_5.2.Filtrer_par_tranches[],2)</f>
        <v>Plus de 65 ans</v>
      </c>
    </row>
    <row r="61" spans="1:5">
      <c r="A61" s="18" t="s">
        <v>986</v>
      </c>
      <c r="B61" s="91">
        <v>4</v>
      </c>
      <c r="C61" s="20"/>
      <c r="D61" s="18" t="str">
        <f>_xlfn.XLOOKUP(_5.1.Filtrer_par_tranches[[#This Row],[Âge]],_5.2.Filtrer_par_tranches[Âge],_5.2.Filtrer_par_tranches[Tranche],,-1)</f>
        <v>0-14 ans</v>
      </c>
      <c r="E61" s="18" t="str">
        <f>VLOOKUP(_5.1.Filtrer_par_tranches[[#This Row],[Âge]],_5.2.Filtrer_par_tranches[],2)</f>
        <v>0-14 ans</v>
      </c>
    </row>
    <row r="62" spans="1:5">
      <c r="A62" s="18" t="s">
        <v>924</v>
      </c>
      <c r="B62" s="91">
        <v>62</v>
      </c>
      <c r="C62" s="20"/>
      <c r="D62" s="18" t="str">
        <f>_xlfn.XLOOKUP(_5.1.Filtrer_par_tranches[[#This Row],[Âge]],_5.2.Filtrer_par_tranches[Âge],_5.2.Filtrer_par_tranches[Tranche],,-1)</f>
        <v>55-64 ans</v>
      </c>
      <c r="E62" s="18" t="str">
        <f>VLOOKUP(_5.1.Filtrer_par_tranches[[#This Row],[Âge]],_5.2.Filtrer_par_tranches[],2)</f>
        <v>55-64 ans</v>
      </c>
    </row>
    <row r="63" spans="1:5">
      <c r="A63" s="18" t="s">
        <v>987</v>
      </c>
      <c r="B63" s="91">
        <v>69</v>
      </c>
      <c r="C63" s="20"/>
      <c r="D63" s="18" t="str">
        <f>_xlfn.XLOOKUP(_5.1.Filtrer_par_tranches[[#This Row],[Âge]],_5.2.Filtrer_par_tranches[Âge],_5.2.Filtrer_par_tranches[Tranche],,-1)</f>
        <v>Plus de 65 ans</v>
      </c>
      <c r="E63" s="18" t="str">
        <f>VLOOKUP(_5.1.Filtrer_par_tranches[[#This Row],[Âge]],_5.2.Filtrer_par_tranches[],2)</f>
        <v>Plus de 65 ans</v>
      </c>
    </row>
    <row r="64" spans="1:5">
      <c r="A64" s="18" t="s">
        <v>925</v>
      </c>
      <c r="B64" s="91">
        <v>18</v>
      </c>
      <c r="C64" s="20"/>
      <c r="D64" s="18" t="str">
        <f>_xlfn.XLOOKUP(_5.1.Filtrer_par_tranches[[#This Row],[Âge]],_5.2.Filtrer_par_tranches[Âge],_5.2.Filtrer_par_tranches[Tranche],,-1)</f>
        <v>15-24 ans</v>
      </c>
      <c r="E64" s="18" t="str">
        <f>VLOOKUP(_5.1.Filtrer_par_tranches[[#This Row],[Âge]],_5.2.Filtrer_par_tranches[],2)</f>
        <v>15-24 ans</v>
      </c>
    </row>
    <row r="65" spans="1:5">
      <c r="A65" s="18" t="s">
        <v>988</v>
      </c>
      <c r="B65" s="91">
        <v>62</v>
      </c>
      <c r="C65" s="20"/>
      <c r="D65" s="18" t="str">
        <f>_xlfn.XLOOKUP(_5.1.Filtrer_par_tranches[[#This Row],[Âge]],_5.2.Filtrer_par_tranches[Âge],_5.2.Filtrer_par_tranches[Tranche],,-1)</f>
        <v>55-64 ans</v>
      </c>
      <c r="E65" s="18" t="str">
        <f>VLOOKUP(_5.1.Filtrer_par_tranches[[#This Row],[Âge]],_5.2.Filtrer_par_tranches[],2)</f>
        <v>55-64 ans</v>
      </c>
    </row>
    <row r="66" spans="1:5">
      <c r="A66" s="18" t="s">
        <v>926</v>
      </c>
      <c r="B66" s="91">
        <v>91</v>
      </c>
      <c r="C66" s="20"/>
      <c r="D66" s="18" t="str">
        <f>_xlfn.XLOOKUP(_5.1.Filtrer_par_tranches[[#This Row],[Âge]],_5.2.Filtrer_par_tranches[Âge],_5.2.Filtrer_par_tranches[Tranche],,-1)</f>
        <v>Plus de 65 ans</v>
      </c>
      <c r="E66" s="18" t="str">
        <f>VLOOKUP(_5.1.Filtrer_par_tranches[[#This Row],[Âge]],_5.2.Filtrer_par_tranches[],2)</f>
        <v>Plus de 65 ans</v>
      </c>
    </row>
    <row r="67" spans="1:5">
      <c r="A67" s="18" t="s">
        <v>989</v>
      </c>
      <c r="B67" s="91">
        <v>31</v>
      </c>
      <c r="C67" s="20"/>
      <c r="D67" s="18" t="str">
        <f>_xlfn.XLOOKUP(_5.1.Filtrer_par_tranches[[#This Row],[Âge]],_5.2.Filtrer_par_tranches[Âge],_5.2.Filtrer_par_tranches[Tranche],,-1)</f>
        <v>25-34 ans</v>
      </c>
      <c r="E67" s="18" t="str">
        <f>VLOOKUP(_5.1.Filtrer_par_tranches[[#This Row],[Âge]],_5.2.Filtrer_par_tranches[],2)</f>
        <v>25-34 ans</v>
      </c>
    </row>
    <row r="68" spans="1:5">
      <c r="A68" s="18" t="s">
        <v>990</v>
      </c>
      <c r="B68" s="91">
        <v>100</v>
      </c>
      <c r="C68" s="20"/>
      <c r="D68" s="18" t="str">
        <f>_xlfn.XLOOKUP(_5.1.Filtrer_par_tranches[[#This Row],[Âge]],_5.2.Filtrer_par_tranches[Âge],_5.2.Filtrer_par_tranches[Tranche],,-1)</f>
        <v>Plus de 65 ans</v>
      </c>
      <c r="E68" s="18" t="str">
        <f>VLOOKUP(_5.1.Filtrer_par_tranches[[#This Row],[Âge]],_5.2.Filtrer_par_tranches[],2)</f>
        <v>Plus de 65 ans</v>
      </c>
    </row>
    <row r="69" spans="1:5">
      <c r="A69" s="18" t="s">
        <v>927</v>
      </c>
      <c r="B69" s="91">
        <v>64</v>
      </c>
      <c r="C69" s="20"/>
      <c r="D69" s="18" t="str">
        <f>_xlfn.XLOOKUP(_5.1.Filtrer_par_tranches[[#This Row],[Âge]],_5.2.Filtrer_par_tranches[Âge],_5.2.Filtrer_par_tranches[Tranche],,-1)</f>
        <v>55-64 ans</v>
      </c>
      <c r="E69" s="18" t="str">
        <f>VLOOKUP(_5.1.Filtrer_par_tranches[[#This Row],[Âge]],_5.2.Filtrer_par_tranches[],2)</f>
        <v>55-64 ans</v>
      </c>
    </row>
    <row r="70" spans="1:5">
      <c r="A70" s="18" t="s">
        <v>991</v>
      </c>
      <c r="B70" s="91">
        <v>41</v>
      </c>
      <c r="C70" s="20"/>
      <c r="D70" s="18" t="str">
        <f>_xlfn.XLOOKUP(_5.1.Filtrer_par_tranches[[#This Row],[Âge]],_5.2.Filtrer_par_tranches[Âge],_5.2.Filtrer_par_tranches[Tranche],,-1)</f>
        <v>35-44 ans</v>
      </c>
      <c r="E70" s="18" t="str">
        <f>VLOOKUP(_5.1.Filtrer_par_tranches[[#This Row],[Âge]],_5.2.Filtrer_par_tranches[],2)</f>
        <v>35-44 ans</v>
      </c>
    </row>
    <row r="71" spans="1:5">
      <c r="A71" s="18" t="s">
        <v>992</v>
      </c>
      <c r="B71" s="91">
        <v>29</v>
      </c>
      <c r="C71" s="20"/>
      <c r="D71" s="18" t="str">
        <f>_xlfn.XLOOKUP(_5.1.Filtrer_par_tranches[[#This Row],[Âge]],_5.2.Filtrer_par_tranches[Âge],_5.2.Filtrer_par_tranches[Tranche],,-1)</f>
        <v>25-34 ans</v>
      </c>
      <c r="E71" s="18" t="str">
        <f>VLOOKUP(_5.1.Filtrer_par_tranches[[#This Row],[Âge]],_5.2.Filtrer_par_tranches[],2)</f>
        <v>25-34 ans</v>
      </c>
    </row>
    <row r="72" spans="1:5">
      <c r="A72" s="18" t="s">
        <v>993</v>
      </c>
      <c r="B72" s="91">
        <v>15</v>
      </c>
      <c r="C72" s="20"/>
      <c r="D72" s="18" t="str">
        <f>_xlfn.XLOOKUP(_5.1.Filtrer_par_tranches[[#This Row],[Âge]],_5.2.Filtrer_par_tranches[Âge],_5.2.Filtrer_par_tranches[Tranche],,-1)</f>
        <v>15-24 ans</v>
      </c>
      <c r="E72" s="18" t="str">
        <f>VLOOKUP(_5.1.Filtrer_par_tranches[[#This Row],[Âge]],_5.2.Filtrer_par_tranches[],2)</f>
        <v>15-24 ans</v>
      </c>
    </row>
    <row r="73" spans="1:5">
      <c r="A73" s="18" t="s">
        <v>928</v>
      </c>
      <c r="B73" s="91">
        <v>65</v>
      </c>
      <c r="C73" s="20"/>
      <c r="D73" s="18" t="str">
        <f>_xlfn.XLOOKUP(_5.1.Filtrer_par_tranches[[#This Row],[Âge]],_5.2.Filtrer_par_tranches[Âge],_5.2.Filtrer_par_tranches[Tranche],,-1)</f>
        <v>Plus de 65 ans</v>
      </c>
      <c r="E73" s="18" t="str">
        <f>VLOOKUP(_5.1.Filtrer_par_tranches[[#This Row],[Âge]],_5.2.Filtrer_par_tranches[],2)</f>
        <v>Plus de 65 ans</v>
      </c>
    </row>
    <row r="74" spans="1:5">
      <c r="A74" s="18" t="s">
        <v>929</v>
      </c>
      <c r="B74" s="91">
        <v>56</v>
      </c>
      <c r="C74" s="20"/>
      <c r="D74" s="18" t="str">
        <f>_xlfn.XLOOKUP(_5.1.Filtrer_par_tranches[[#This Row],[Âge]],_5.2.Filtrer_par_tranches[Âge],_5.2.Filtrer_par_tranches[Tranche],,-1)</f>
        <v>55-64 ans</v>
      </c>
      <c r="E74" s="18" t="str">
        <f>VLOOKUP(_5.1.Filtrer_par_tranches[[#This Row],[Âge]],_5.2.Filtrer_par_tranches[],2)</f>
        <v>55-64 ans</v>
      </c>
    </row>
    <row r="75" spans="1:5">
      <c r="A75" s="18" t="s">
        <v>994</v>
      </c>
      <c r="B75" s="91">
        <v>35</v>
      </c>
      <c r="C75" s="20"/>
      <c r="D75" s="18" t="str">
        <f>_xlfn.XLOOKUP(_5.1.Filtrer_par_tranches[[#This Row],[Âge]],_5.2.Filtrer_par_tranches[Âge],_5.2.Filtrer_par_tranches[Tranche],,-1)</f>
        <v>35-44 ans</v>
      </c>
      <c r="E75" s="18" t="str">
        <f>VLOOKUP(_5.1.Filtrer_par_tranches[[#This Row],[Âge]],_5.2.Filtrer_par_tranches[],2)</f>
        <v>35-44 ans</v>
      </c>
    </row>
    <row r="76" spans="1:5">
      <c r="A76" s="18" t="s">
        <v>930</v>
      </c>
      <c r="B76" s="91">
        <v>76</v>
      </c>
      <c r="C76" s="20"/>
      <c r="D76" s="18" t="str">
        <f>_xlfn.XLOOKUP(_5.1.Filtrer_par_tranches[[#This Row],[Âge]],_5.2.Filtrer_par_tranches[Âge],_5.2.Filtrer_par_tranches[Tranche],,-1)</f>
        <v>Plus de 65 ans</v>
      </c>
      <c r="E76" s="18" t="str">
        <f>VLOOKUP(_5.1.Filtrer_par_tranches[[#This Row],[Âge]],_5.2.Filtrer_par_tranches[],2)</f>
        <v>Plus de 65 ans</v>
      </c>
    </row>
    <row r="77" spans="1:5">
      <c r="A77" s="18" t="s">
        <v>995</v>
      </c>
      <c r="B77" s="91">
        <v>35</v>
      </c>
      <c r="C77" s="20"/>
      <c r="D77" s="18" t="str">
        <f>_xlfn.XLOOKUP(_5.1.Filtrer_par_tranches[[#This Row],[Âge]],_5.2.Filtrer_par_tranches[Âge],_5.2.Filtrer_par_tranches[Tranche],,-1)</f>
        <v>35-44 ans</v>
      </c>
      <c r="E77" s="18" t="str">
        <f>VLOOKUP(_5.1.Filtrer_par_tranches[[#This Row],[Âge]],_5.2.Filtrer_par_tranches[],2)</f>
        <v>35-44 ans</v>
      </c>
    </row>
    <row r="78" spans="1:5">
      <c r="A78" s="18" t="s">
        <v>996</v>
      </c>
      <c r="B78" s="91">
        <v>98</v>
      </c>
      <c r="C78" s="20"/>
      <c r="D78" s="18" t="str">
        <f>_xlfn.XLOOKUP(_5.1.Filtrer_par_tranches[[#This Row],[Âge]],_5.2.Filtrer_par_tranches[Âge],_5.2.Filtrer_par_tranches[Tranche],,-1)</f>
        <v>Plus de 65 ans</v>
      </c>
      <c r="E78" s="18" t="str">
        <f>VLOOKUP(_5.1.Filtrer_par_tranches[[#This Row],[Âge]],_5.2.Filtrer_par_tranches[],2)</f>
        <v>Plus de 65 ans</v>
      </c>
    </row>
    <row r="79" spans="1:5">
      <c r="A79" s="18" t="s">
        <v>931</v>
      </c>
      <c r="B79" s="91">
        <v>47</v>
      </c>
      <c r="C79" s="20"/>
      <c r="D79" s="18" t="str">
        <f>_xlfn.XLOOKUP(_5.1.Filtrer_par_tranches[[#This Row],[Âge]],_5.2.Filtrer_par_tranches[Âge],_5.2.Filtrer_par_tranches[Tranche],,-1)</f>
        <v>45-54 ans</v>
      </c>
      <c r="E79" s="18" t="str">
        <f>VLOOKUP(_5.1.Filtrer_par_tranches[[#This Row],[Âge]],_5.2.Filtrer_par_tranches[],2)</f>
        <v>45-54 ans</v>
      </c>
    </row>
    <row r="80" spans="1:5">
      <c r="A80" s="18" t="s">
        <v>932</v>
      </c>
      <c r="B80" s="91">
        <v>10</v>
      </c>
      <c r="C80" s="20"/>
      <c r="D80" s="18" t="str">
        <f>_xlfn.XLOOKUP(_5.1.Filtrer_par_tranches[[#This Row],[Âge]],_5.2.Filtrer_par_tranches[Âge],_5.2.Filtrer_par_tranches[Tranche],,-1)</f>
        <v>0-14 ans</v>
      </c>
      <c r="E80" s="18" t="str">
        <f>VLOOKUP(_5.1.Filtrer_par_tranches[[#This Row],[Âge]],_5.2.Filtrer_par_tranches[],2)</f>
        <v>0-14 ans</v>
      </c>
    </row>
    <row r="81" spans="1:5">
      <c r="A81" s="18" t="s">
        <v>933</v>
      </c>
      <c r="B81" s="91">
        <v>74</v>
      </c>
      <c r="C81" s="20"/>
      <c r="D81" s="18" t="str">
        <f>_xlfn.XLOOKUP(_5.1.Filtrer_par_tranches[[#This Row],[Âge]],_5.2.Filtrer_par_tranches[Âge],_5.2.Filtrer_par_tranches[Tranche],,-1)</f>
        <v>Plus de 65 ans</v>
      </c>
      <c r="E81" s="18" t="str">
        <f>VLOOKUP(_5.1.Filtrer_par_tranches[[#This Row],[Âge]],_5.2.Filtrer_par_tranches[],2)</f>
        <v>Plus de 65 ans</v>
      </c>
    </row>
    <row r="82" spans="1:5">
      <c r="A82" s="18" t="s">
        <v>934</v>
      </c>
      <c r="B82" s="91">
        <v>41</v>
      </c>
      <c r="C82" s="20"/>
      <c r="D82" s="18" t="str">
        <f>_xlfn.XLOOKUP(_5.1.Filtrer_par_tranches[[#This Row],[Âge]],_5.2.Filtrer_par_tranches[Âge],_5.2.Filtrer_par_tranches[Tranche],,-1)</f>
        <v>35-44 ans</v>
      </c>
      <c r="E82" s="18" t="str">
        <f>VLOOKUP(_5.1.Filtrer_par_tranches[[#This Row],[Âge]],_5.2.Filtrer_par_tranches[],2)</f>
        <v>35-44 ans</v>
      </c>
    </row>
    <row r="83" spans="1:5">
      <c r="A83" s="18" t="s">
        <v>997</v>
      </c>
      <c r="B83" s="91">
        <v>44</v>
      </c>
      <c r="C83" s="20"/>
      <c r="D83" s="18" t="str">
        <f>_xlfn.XLOOKUP(_5.1.Filtrer_par_tranches[[#This Row],[Âge]],_5.2.Filtrer_par_tranches[Âge],_5.2.Filtrer_par_tranches[Tranche],,-1)</f>
        <v>35-44 ans</v>
      </c>
      <c r="E83" s="18" t="str">
        <f>VLOOKUP(_5.1.Filtrer_par_tranches[[#This Row],[Âge]],_5.2.Filtrer_par_tranches[],2)</f>
        <v>35-44 ans</v>
      </c>
    </row>
    <row r="84" spans="1:5">
      <c r="A84" s="18" t="s">
        <v>935</v>
      </c>
      <c r="B84" s="91">
        <v>67</v>
      </c>
      <c r="C84" s="20"/>
      <c r="D84" s="18" t="str">
        <f>_xlfn.XLOOKUP(_5.1.Filtrer_par_tranches[[#This Row],[Âge]],_5.2.Filtrer_par_tranches[Âge],_5.2.Filtrer_par_tranches[Tranche],,-1)</f>
        <v>Plus de 65 ans</v>
      </c>
      <c r="E84" s="18" t="str">
        <f>VLOOKUP(_5.1.Filtrer_par_tranches[[#This Row],[Âge]],_5.2.Filtrer_par_tranches[],2)</f>
        <v>Plus de 65 ans</v>
      </c>
    </row>
    <row r="85" spans="1:5">
      <c r="A85" s="18" t="s">
        <v>936</v>
      </c>
      <c r="B85" s="91">
        <v>85</v>
      </c>
      <c r="C85" s="20"/>
      <c r="D85" s="18" t="str">
        <f>_xlfn.XLOOKUP(_5.1.Filtrer_par_tranches[[#This Row],[Âge]],_5.2.Filtrer_par_tranches[Âge],_5.2.Filtrer_par_tranches[Tranche],,-1)</f>
        <v>Plus de 65 ans</v>
      </c>
      <c r="E85" s="18" t="str">
        <f>VLOOKUP(_5.1.Filtrer_par_tranches[[#This Row],[Âge]],_5.2.Filtrer_par_tranches[],2)</f>
        <v>Plus de 65 ans</v>
      </c>
    </row>
    <row r="86" spans="1:5">
      <c r="A86" s="18" t="s">
        <v>937</v>
      </c>
      <c r="B86" s="91">
        <v>73</v>
      </c>
      <c r="C86" s="20"/>
      <c r="D86" s="18" t="str">
        <f>_xlfn.XLOOKUP(_5.1.Filtrer_par_tranches[[#This Row],[Âge]],_5.2.Filtrer_par_tranches[Âge],_5.2.Filtrer_par_tranches[Tranche],,-1)</f>
        <v>Plus de 65 ans</v>
      </c>
      <c r="E86" s="18" t="str">
        <f>VLOOKUP(_5.1.Filtrer_par_tranches[[#This Row],[Âge]],_5.2.Filtrer_par_tranches[],2)</f>
        <v>Plus de 65 ans</v>
      </c>
    </row>
    <row r="87" spans="1:5">
      <c r="A87" s="18" t="s">
        <v>938</v>
      </c>
      <c r="B87" s="91">
        <v>49</v>
      </c>
      <c r="C87" s="20"/>
      <c r="D87" s="18" t="str">
        <f>_xlfn.XLOOKUP(_5.1.Filtrer_par_tranches[[#This Row],[Âge]],_5.2.Filtrer_par_tranches[Âge],_5.2.Filtrer_par_tranches[Tranche],,-1)</f>
        <v>45-54 ans</v>
      </c>
      <c r="E87" s="18" t="str">
        <f>VLOOKUP(_5.1.Filtrer_par_tranches[[#This Row],[Âge]],_5.2.Filtrer_par_tranches[],2)</f>
        <v>45-54 ans</v>
      </c>
    </row>
    <row r="88" spans="1:5">
      <c r="A88" s="18" t="s">
        <v>939</v>
      </c>
      <c r="B88" s="91">
        <v>93</v>
      </c>
      <c r="C88" s="20"/>
      <c r="D88" s="18" t="str">
        <f>_xlfn.XLOOKUP(_5.1.Filtrer_par_tranches[[#This Row],[Âge]],_5.2.Filtrer_par_tranches[Âge],_5.2.Filtrer_par_tranches[Tranche],,-1)</f>
        <v>Plus de 65 ans</v>
      </c>
      <c r="E88" s="18" t="str">
        <f>VLOOKUP(_5.1.Filtrer_par_tranches[[#This Row],[Âge]],_5.2.Filtrer_par_tranches[],2)</f>
        <v>Plus de 65 ans</v>
      </c>
    </row>
    <row r="89" spans="1:5">
      <c r="A89" s="18" t="s">
        <v>940</v>
      </c>
      <c r="B89" s="91">
        <v>4</v>
      </c>
      <c r="C89" s="20"/>
      <c r="D89" s="18" t="str">
        <f>_xlfn.XLOOKUP(_5.1.Filtrer_par_tranches[[#This Row],[Âge]],_5.2.Filtrer_par_tranches[Âge],_5.2.Filtrer_par_tranches[Tranche],,-1)</f>
        <v>0-14 ans</v>
      </c>
      <c r="E89" s="18" t="str">
        <f>VLOOKUP(_5.1.Filtrer_par_tranches[[#This Row],[Âge]],_5.2.Filtrer_par_tranches[],2)</f>
        <v>0-14 ans</v>
      </c>
    </row>
    <row r="90" spans="1:5">
      <c r="A90" s="18" t="s">
        <v>998</v>
      </c>
      <c r="B90" s="91"/>
      <c r="C90" s="20"/>
      <c r="D90" s="18" t="str">
        <f>_xlfn.XLOOKUP(_5.1.Filtrer_par_tranches[[#This Row],[Âge]],_5.2.Filtrer_par_tranches[Âge],_5.2.Filtrer_par_tranches[Tranche],,-1)</f>
        <v>Plus de 65 ans</v>
      </c>
      <c r="E90" s="18" t="str">
        <f>VLOOKUP(_5.1.Filtrer_par_tranches[[#This Row],[Âge]],_5.2.Filtrer_par_tranches[],2)</f>
        <v>0-14 ans</v>
      </c>
    </row>
    <row r="91" spans="1:5">
      <c r="A91" s="18" t="s">
        <v>941</v>
      </c>
      <c r="B91" s="91">
        <v>15</v>
      </c>
      <c r="C91" s="20"/>
      <c r="D91" s="18" t="str">
        <f>_xlfn.XLOOKUP(_5.1.Filtrer_par_tranches[[#This Row],[Âge]],_5.2.Filtrer_par_tranches[Âge],_5.2.Filtrer_par_tranches[Tranche],,-1)</f>
        <v>15-24 ans</v>
      </c>
      <c r="E91" s="18" t="str">
        <f>VLOOKUP(_5.1.Filtrer_par_tranches[[#This Row],[Âge]],_5.2.Filtrer_par_tranches[],2)</f>
        <v>15-24 ans</v>
      </c>
    </row>
    <row r="92" spans="1:5">
      <c r="A92" s="18" t="s">
        <v>942</v>
      </c>
      <c r="B92" s="91">
        <v>12</v>
      </c>
      <c r="C92" s="20"/>
      <c r="D92" s="18" t="str">
        <f>_xlfn.XLOOKUP(_5.1.Filtrer_par_tranches[[#This Row],[Âge]],_5.2.Filtrer_par_tranches[Âge],_5.2.Filtrer_par_tranches[Tranche],,-1)</f>
        <v>0-14 ans</v>
      </c>
      <c r="E92" s="18" t="str">
        <f>VLOOKUP(_5.1.Filtrer_par_tranches[[#This Row],[Âge]],_5.2.Filtrer_par_tranches[],2)</f>
        <v>0-14 ans</v>
      </c>
    </row>
    <row r="93" spans="1:5">
      <c r="A93" s="18" t="s">
        <v>999</v>
      </c>
      <c r="B93" s="91"/>
      <c r="C93" s="20"/>
      <c r="D93" s="18" t="str">
        <f>_xlfn.XLOOKUP(_5.1.Filtrer_par_tranches[[#This Row],[Âge]],_5.2.Filtrer_par_tranches[Âge],_5.2.Filtrer_par_tranches[Tranche],,-1)</f>
        <v>Plus de 65 ans</v>
      </c>
      <c r="E93" s="18" t="str">
        <f>VLOOKUP(_5.1.Filtrer_par_tranches[[#This Row],[Âge]],_5.2.Filtrer_par_tranches[],2)</f>
        <v>0-14 ans</v>
      </c>
    </row>
    <row r="94" spans="1:5">
      <c r="A94" s="18" t="s">
        <v>943</v>
      </c>
      <c r="B94" s="91">
        <v>96</v>
      </c>
      <c r="C94" s="20"/>
      <c r="D94" s="18" t="str">
        <f>_xlfn.XLOOKUP(_5.1.Filtrer_par_tranches[[#This Row],[Âge]],_5.2.Filtrer_par_tranches[Âge],_5.2.Filtrer_par_tranches[Tranche],,-1)</f>
        <v>Plus de 65 ans</v>
      </c>
      <c r="E94" s="18" t="str">
        <f>VLOOKUP(_5.1.Filtrer_par_tranches[[#This Row],[Âge]],_5.2.Filtrer_par_tranches[],2)</f>
        <v>Plus de 65 ans</v>
      </c>
    </row>
    <row r="95" spans="1:5">
      <c r="A95" s="18" t="s">
        <v>1000</v>
      </c>
      <c r="B95" s="91"/>
      <c r="C95" s="20"/>
      <c r="D95" s="18" t="str">
        <f>_xlfn.XLOOKUP(_5.1.Filtrer_par_tranches[[#This Row],[Âge]],_5.2.Filtrer_par_tranches[Âge],_5.2.Filtrer_par_tranches[Tranche],,-1)</f>
        <v>Plus de 65 ans</v>
      </c>
      <c r="E95" s="18" t="str">
        <f>VLOOKUP(_5.1.Filtrer_par_tranches[[#This Row],[Âge]],_5.2.Filtrer_par_tranches[],2)</f>
        <v>0-14 ans</v>
      </c>
    </row>
    <row r="96" spans="1:5">
      <c r="A96" s="18" t="s">
        <v>944</v>
      </c>
      <c r="B96" s="91">
        <v>17</v>
      </c>
      <c r="C96" s="20"/>
      <c r="D96" s="18" t="str">
        <f>_xlfn.XLOOKUP(_5.1.Filtrer_par_tranches[[#This Row],[Âge]],_5.2.Filtrer_par_tranches[Âge],_5.2.Filtrer_par_tranches[Tranche],,-1)</f>
        <v>15-24 ans</v>
      </c>
      <c r="E96" s="18" t="str">
        <f>VLOOKUP(_5.1.Filtrer_par_tranches[[#This Row],[Âge]],_5.2.Filtrer_par_tranches[],2)</f>
        <v>15-24 ans</v>
      </c>
    </row>
    <row r="97" spans="1:5">
      <c r="A97" s="18" t="s">
        <v>945</v>
      </c>
      <c r="B97" s="91">
        <v>31</v>
      </c>
      <c r="C97" s="20"/>
      <c r="D97" s="18" t="str">
        <f>_xlfn.XLOOKUP(_5.1.Filtrer_par_tranches[[#This Row],[Âge]],_5.2.Filtrer_par_tranches[Âge],_5.2.Filtrer_par_tranches[Tranche],,-1)</f>
        <v>25-34 ans</v>
      </c>
      <c r="E97" s="18" t="str">
        <f>VLOOKUP(_5.1.Filtrer_par_tranches[[#This Row],[Âge]],_5.2.Filtrer_par_tranches[],2)</f>
        <v>25-34 ans</v>
      </c>
    </row>
    <row r="98" spans="1:5">
      <c r="A98" s="18" t="s">
        <v>946</v>
      </c>
      <c r="B98" s="91">
        <v>27</v>
      </c>
      <c r="C98" s="20"/>
      <c r="D98" s="18" t="str">
        <f>_xlfn.XLOOKUP(_5.1.Filtrer_par_tranches[[#This Row],[Âge]],_5.2.Filtrer_par_tranches[Âge],_5.2.Filtrer_par_tranches[Tranche],,-1)</f>
        <v>25-34 ans</v>
      </c>
      <c r="E98" s="18" t="str">
        <f>VLOOKUP(_5.1.Filtrer_par_tranches[[#This Row],[Âge]],_5.2.Filtrer_par_tranches[],2)</f>
        <v>25-34 ans</v>
      </c>
    </row>
    <row r="99" spans="1:5">
      <c r="A99" s="18" t="s">
        <v>947</v>
      </c>
      <c r="B99" s="91">
        <v>27</v>
      </c>
      <c r="C99" s="20"/>
      <c r="D99" s="18" t="str">
        <f>_xlfn.XLOOKUP(_5.1.Filtrer_par_tranches[[#This Row],[Âge]],_5.2.Filtrer_par_tranches[Âge],_5.2.Filtrer_par_tranches[Tranche],,-1)</f>
        <v>25-34 ans</v>
      </c>
      <c r="E99" s="18" t="str">
        <f>VLOOKUP(_5.1.Filtrer_par_tranches[[#This Row],[Âge]],_5.2.Filtrer_par_tranches[],2)</f>
        <v>25-34 ans</v>
      </c>
    </row>
    <row r="100" spans="1:5">
      <c r="A100" s="18" t="s">
        <v>948</v>
      </c>
      <c r="B100" s="91">
        <v>78</v>
      </c>
      <c r="C100" s="20"/>
      <c r="D100" s="18" t="str">
        <f>_xlfn.XLOOKUP(_5.1.Filtrer_par_tranches[[#This Row],[Âge]],_5.2.Filtrer_par_tranches[Âge],_5.2.Filtrer_par_tranches[Tranche],,-1)</f>
        <v>Plus de 65 ans</v>
      </c>
      <c r="E100" s="18" t="str">
        <f>VLOOKUP(_5.1.Filtrer_par_tranches[[#This Row],[Âge]],_5.2.Filtrer_par_tranches[],2)</f>
        <v>Plus de 65 ans</v>
      </c>
    </row>
    <row r="101" spans="1:5">
      <c r="A101" s="18" t="s">
        <v>1001</v>
      </c>
      <c r="B101" s="91"/>
      <c r="C101" s="20"/>
      <c r="D101" s="18" t="str">
        <f>_xlfn.XLOOKUP(_5.1.Filtrer_par_tranches[[#This Row],[Âge]],_5.2.Filtrer_par_tranches[Âge],_5.2.Filtrer_par_tranches[Tranche],,-1)</f>
        <v>Plus de 65 ans</v>
      </c>
      <c r="E101" s="18" t="str">
        <f>VLOOKUP(_5.1.Filtrer_par_tranches[[#This Row],[Âge]],_5.2.Filtrer_par_tranches[],2)</f>
        <v>0-14 ans</v>
      </c>
    </row>
    <row r="102" spans="1:5">
      <c r="A102" s="18" t="s">
        <v>949</v>
      </c>
      <c r="B102" s="91">
        <v>28</v>
      </c>
      <c r="C102" s="20"/>
      <c r="D102" s="18" t="str">
        <f>_xlfn.XLOOKUP(_5.1.Filtrer_par_tranches[[#This Row],[Âge]],_5.2.Filtrer_par_tranches[Âge],_5.2.Filtrer_par_tranches[Tranche],,-1)</f>
        <v>25-34 ans</v>
      </c>
      <c r="E102" s="18" t="str">
        <f>VLOOKUP(_5.1.Filtrer_par_tranches[[#This Row],[Âge]],_5.2.Filtrer_par_tranches[],2)</f>
        <v>25-34 ans</v>
      </c>
    </row>
    <row r="103" spans="1:5">
      <c r="A103" s="18" t="s">
        <v>950</v>
      </c>
      <c r="B103" s="91">
        <v>54</v>
      </c>
      <c r="C103" s="20"/>
      <c r="D103" s="18" t="str">
        <f>_xlfn.XLOOKUP(_5.1.Filtrer_par_tranches[[#This Row],[Âge]],_5.2.Filtrer_par_tranches[Âge],_5.2.Filtrer_par_tranches[Tranche],,-1)</f>
        <v>45-54 ans</v>
      </c>
      <c r="E103" s="18" t="str">
        <f>VLOOKUP(_5.1.Filtrer_par_tranches[[#This Row],[Âge]],_5.2.Filtrer_par_tranches[],2)</f>
        <v>45-54 ans</v>
      </c>
    </row>
    <row r="104" spans="1:5">
      <c r="A104" s="18" t="s">
        <v>951</v>
      </c>
      <c r="B104" s="91">
        <v>64</v>
      </c>
      <c r="C104" s="20"/>
      <c r="D104" s="18" t="str">
        <f>_xlfn.XLOOKUP(_5.1.Filtrer_par_tranches[[#This Row],[Âge]],_5.2.Filtrer_par_tranches[Âge],_5.2.Filtrer_par_tranches[Tranche],,-1)</f>
        <v>55-64 ans</v>
      </c>
      <c r="E104" s="18" t="str">
        <f>VLOOKUP(_5.1.Filtrer_par_tranches[[#This Row],[Âge]],_5.2.Filtrer_par_tranches[],2)</f>
        <v>55-64 ans</v>
      </c>
    </row>
    <row r="105" spans="1:5">
      <c r="A105" s="18" t="s">
        <v>952</v>
      </c>
      <c r="B105" s="91">
        <v>65</v>
      </c>
      <c r="C105" s="20"/>
      <c r="D105" s="18" t="str">
        <f>_xlfn.XLOOKUP(_5.1.Filtrer_par_tranches[[#This Row],[Âge]],_5.2.Filtrer_par_tranches[Âge],_5.2.Filtrer_par_tranches[Tranche],,-1)</f>
        <v>Plus de 65 ans</v>
      </c>
      <c r="E105" s="18" t="str">
        <f>VLOOKUP(_5.1.Filtrer_par_tranches[[#This Row],[Âge]],_5.2.Filtrer_par_tranches[],2)</f>
        <v>Plus de 65 ans</v>
      </c>
    </row>
  </sheetData>
  <pageMargins left="0.7" right="0.7" top="0.75" bottom="0.75" header="0.3" footer="0.3"/>
  <pageSetup paperSize="9" orientation="portrait" horizontalDpi="90" verticalDpi="90"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5F87C-D4B7-DF46-A57F-57502369D9EB}">
  <sheetPr>
    <tabColor theme="8" tint="0.79998168889431442"/>
  </sheetPr>
  <dimension ref="A1:M29"/>
  <sheetViews>
    <sheetView showGridLines="0" topLeftCell="A3" zoomScaleNormal="100" workbookViewId="0">
      <selection activeCell="E27" sqref="E27"/>
    </sheetView>
  </sheetViews>
  <sheetFormatPr baseColWidth="10" defaultColWidth="10.77734375" defaultRowHeight="15.6"/>
  <cols>
    <col min="1" max="1" width="14.77734375" style="78" customWidth="1"/>
    <col min="2" max="2" width="18.77734375" style="78" customWidth="1"/>
    <col min="3" max="3" width="5.77734375" style="78" customWidth="1"/>
    <col min="4" max="4" width="14.77734375" style="78" customWidth="1"/>
    <col min="5" max="5" width="18.77734375" style="78" customWidth="1"/>
    <col min="6" max="8" width="20.77734375" style="78" customWidth="1"/>
    <col min="9" max="9" width="5.77734375" style="78" customWidth="1"/>
    <col min="10" max="10" width="14.77734375" style="78" customWidth="1"/>
    <col min="11" max="11" width="17.77734375" style="78" customWidth="1"/>
    <col min="12" max="12" width="14.77734375" style="78" customWidth="1"/>
    <col min="13" max="13" width="17.77734375" style="78" customWidth="1"/>
    <col min="14" max="16384" width="10.77734375" style="78"/>
  </cols>
  <sheetData>
    <row r="1" spans="1:13">
      <c r="A1" s="79" t="s">
        <v>132</v>
      </c>
      <c r="B1" s="79"/>
      <c r="C1" s="79"/>
      <c r="D1" s="79"/>
      <c r="E1" s="80"/>
      <c r="F1" s="80"/>
      <c r="G1" s="80"/>
      <c r="H1" s="80"/>
      <c r="I1" s="80"/>
      <c r="J1" s="87"/>
      <c r="K1" s="87"/>
      <c r="L1" s="87"/>
      <c r="M1" s="87"/>
    </row>
    <row r="2" spans="1:13">
      <c r="A2" s="81" t="s">
        <v>784</v>
      </c>
      <c r="B2" s="81"/>
      <c r="C2" s="81"/>
      <c r="D2" s="81"/>
      <c r="E2" s="71"/>
      <c r="F2" s="71"/>
      <c r="G2" s="71"/>
      <c r="H2" s="71"/>
      <c r="I2" s="71"/>
      <c r="J2" s="86"/>
      <c r="K2" s="86"/>
      <c r="L2" s="86"/>
      <c r="M2" s="86"/>
    </row>
    <row r="3" spans="1:13">
      <c r="A3" s="81" t="s">
        <v>786</v>
      </c>
      <c r="B3" s="81"/>
      <c r="C3" s="81"/>
      <c r="D3" s="81"/>
      <c r="E3" s="71"/>
      <c r="F3" s="71"/>
      <c r="G3" s="71"/>
      <c r="H3" s="71"/>
      <c r="I3" s="71"/>
      <c r="J3" s="86"/>
      <c r="K3" s="86"/>
      <c r="L3" s="86"/>
      <c r="M3" s="86"/>
    </row>
    <row r="5" spans="1:13" ht="31.2">
      <c r="A5" s="78" t="s">
        <v>655</v>
      </c>
      <c r="B5" s="78" t="s">
        <v>656</v>
      </c>
      <c r="D5" s="78" t="s">
        <v>655</v>
      </c>
      <c r="E5" s="78" t="s">
        <v>656</v>
      </c>
      <c r="F5" s="78" t="s">
        <v>712</v>
      </c>
      <c r="G5" s="82" t="s">
        <v>713</v>
      </c>
      <c r="H5" s="82" t="s">
        <v>714</v>
      </c>
      <c r="J5" s="115" t="s">
        <v>711</v>
      </c>
      <c r="K5" s="115"/>
      <c r="L5" s="115"/>
      <c r="M5" s="115"/>
    </row>
    <row r="6" spans="1:13">
      <c r="A6" s="78" t="s">
        <v>657</v>
      </c>
      <c r="B6" s="78" t="s">
        <v>209</v>
      </c>
      <c r="D6" s="78" t="s">
        <v>668</v>
      </c>
      <c r="E6" s="78" t="s">
        <v>678</v>
      </c>
      <c r="F6" s="84"/>
      <c r="G6" s="83" t="str">
        <f>_xlfn.XLOOKUP(_7.2.Liste_nouvelles_données[[#This Row],[N° article]],_7.1.Liste_nouvelles_données[N° article],_7.1.Liste_nouvelles_données[Libellé],"Nouvel article")</f>
        <v>Bonnet</v>
      </c>
      <c r="H6" s="83" t="str">
        <f>IFERROR(VLOOKUP(_7.2.Liste_nouvelles_données[[#This Row],[N° article]],_7.1.Liste_nouvelles_données[],2,FALSE),"Nouvel article")</f>
        <v>Bonnet</v>
      </c>
      <c r="J6" s="84"/>
      <c r="L6" s="85" t="str" cm="1">
        <f t="array" ref="L6:M15">_xlfn._xlws.SORT(_xlfn._xlws.FILTER(_7.2.Liste_nouvelles_données[[N° article]:[Libellé]],_7.2.Liste_nouvelles_données[Correction
Nouvel article ?]="Nouvel article"))</f>
        <v>A0021</v>
      </c>
      <c r="M6" s="78" t="str">
        <v>Pull</v>
      </c>
    </row>
    <row r="7" spans="1:13" ht="16.05" customHeight="1">
      <c r="A7" s="78" t="s">
        <v>659</v>
      </c>
      <c r="B7" s="78" t="s">
        <v>660</v>
      </c>
      <c r="D7" s="78" t="s">
        <v>708</v>
      </c>
      <c r="E7" s="78" t="s">
        <v>709</v>
      </c>
      <c r="F7" s="84"/>
      <c r="G7" s="83" t="str">
        <f>_xlfn.XLOOKUP(_7.2.Liste_nouvelles_données[[#This Row],[N° article]],_7.1.Liste_nouvelles_données[N° article],_7.1.Liste_nouvelles_données[Libellé],"Nouvel article")</f>
        <v>Nouvel article</v>
      </c>
      <c r="H7" s="83" t="str">
        <f>IFERROR(VLOOKUP(_7.2.Liste_nouvelles_données[[#This Row],[N° article]],_7.1.Liste_nouvelles_données[],2,FALSE),"Nouvel article")</f>
        <v>Nouvel article</v>
      </c>
      <c r="L7" s="78" t="str">
        <v>A0022</v>
      </c>
      <c r="M7" s="78" t="str">
        <v>Jean</v>
      </c>
    </row>
    <row r="8" spans="1:13">
      <c r="A8" s="78" t="s">
        <v>661</v>
      </c>
      <c r="B8" s="78" t="s">
        <v>662</v>
      </c>
      <c r="D8" s="78" t="s">
        <v>669</v>
      </c>
      <c r="E8" s="78" t="s">
        <v>670</v>
      </c>
      <c r="F8" s="84"/>
      <c r="G8" s="83" t="str">
        <f>_xlfn.XLOOKUP(_7.2.Liste_nouvelles_données[[#This Row],[N° article]],_7.1.Liste_nouvelles_données[N° article],_7.1.Liste_nouvelles_données[Libellé],"Nouvel article")</f>
        <v>Casquette</v>
      </c>
      <c r="H8" s="83" t="str">
        <f>IFERROR(VLOOKUP(_7.2.Liste_nouvelles_données[[#This Row],[N° article]],_7.1.Liste_nouvelles_données[],2,FALSE),"Nouvel article")</f>
        <v>Casquette</v>
      </c>
      <c r="L8" s="78" t="str">
        <v>A0023</v>
      </c>
      <c r="M8" s="78" t="str">
        <v>Costume</v>
      </c>
    </row>
    <row r="9" spans="1:13" ht="16.05" customHeight="1">
      <c r="A9" s="78" t="s">
        <v>664</v>
      </c>
      <c r="B9" s="78" t="s">
        <v>254</v>
      </c>
      <c r="D9" s="78" t="s">
        <v>692</v>
      </c>
      <c r="E9" s="78" t="s">
        <v>693</v>
      </c>
      <c r="F9" s="84"/>
      <c r="G9" s="83" t="str">
        <f>_xlfn.XLOOKUP(_7.2.Liste_nouvelles_données[[#This Row],[N° article]],_7.1.Liste_nouvelles_données[N° article],_7.1.Liste_nouvelles_données[Libellé],"Nouvel article")</f>
        <v>Casseroles</v>
      </c>
      <c r="H9" s="83" t="str">
        <f>IFERROR(VLOOKUP(_7.2.Liste_nouvelles_données[[#This Row],[N° article]],_7.1.Liste_nouvelles_données[],2,FALSE),"Nouvel article")</f>
        <v>Casseroles</v>
      </c>
      <c r="L9" s="78" t="str">
        <v>A0024</v>
      </c>
      <c r="M9" s="78" t="str">
        <v>Chemise</v>
      </c>
    </row>
    <row r="10" spans="1:13">
      <c r="A10" s="78" t="s">
        <v>666</v>
      </c>
      <c r="B10" s="78" t="s">
        <v>667</v>
      </c>
      <c r="D10" s="78" t="s">
        <v>705</v>
      </c>
      <c r="E10" s="78" t="s">
        <v>252</v>
      </c>
      <c r="F10" s="84"/>
      <c r="G10" s="83" t="str">
        <f>_xlfn.XLOOKUP(_7.2.Liste_nouvelles_données[[#This Row],[N° article]],_7.1.Liste_nouvelles_données[N° article],_7.1.Liste_nouvelles_données[Libellé],"Nouvel article")</f>
        <v>Nouvel article</v>
      </c>
      <c r="H10" s="83" t="str">
        <f>IFERROR(VLOOKUP(_7.2.Liste_nouvelles_données[[#This Row],[N° article]],_7.1.Liste_nouvelles_données[],2,FALSE),"Nouvel article")</f>
        <v>Nouvel article</v>
      </c>
      <c r="L10" s="78" t="str">
        <v>A0025</v>
      </c>
      <c r="M10" s="78" t="str">
        <v>Manteau</v>
      </c>
    </row>
    <row r="11" spans="1:13">
      <c r="A11" s="78" t="s">
        <v>669</v>
      </c>
      <c r="B11" s="78" t="s">
        <v>670</v>
      </c>
      <c r="D11" s="78" t="s">
        <v>671</v>
      </c>
      <c r="E11" s="78" t="s">
        <v>679</v>
      </c>
      <c r="F11" s="84"/>
      <c r="G11" s="83" t="str">
        <f>_xlfn.XLOOKUP(_7.2.Liste_nouvelles_données[[#This Row],[N° article]],_7.1.Liste_nouvelles_données[N° article],_7.1.Liste_nouvelles_données[Libellé],"Nouvel article")</f>
        <v>Chaussettes</v>
      </c>
      <c r="H11" s="83" t="str">
        <f>IFERROR(VLOOKUP(_7.2.Liste_nouvelles_données[[#This Row],[N° article]],_7.1.Liste_nouvelles_données[],2,FALSE),"Nouvel article")</f>
        <v>Chaussettes</v>
      </c>
      <c r="L11" s="78" t="str">
        <v>A0026</v>
      </c>
      <c r="M11" s="78" t="str">
        <v>Veste</v>
      </c>
    </row>
    <row r="12" spans="1:13">
      <c r="A12" s="78" t="s">
        <v>672</v>
      </c>
      <c r="B12" s="78" t="s">
        <v>673</v>
      </c>
      <c r="D12" s="78" t="s">
        <v>661</v>
      </c>
      <c r="E12" s="78" t="s">
        <v>662</v>
      </c>
      <c r="F12" s="84"/>
      <c r="G12" s="83" t="str">
        <f>_xlfn.XLOOKUP(_7.2.Liste_nouvelles_données[[#This Row],[N° article]],_7.1.Liste_nouvelles_données[N° article],_7.1.Liste_nouvelles_données[Libellé],"Nouvel article")</f>
        <v>Chaussures</v>
      </c>
      <c r="H12" s="83" t="str">
        <f>IFERROR(VLOOKUP(_7.2.Liste_nouvelles_données[[#This Row],[N° article]],_7.1.Liste_nouvelles_données[],2,FALSE),"Nouvel article")</f>
        <v>Chaussures</v>
      </c>
      <c r="L12" s="78" t="str">
        <v>A0027</v>
      </c>
      <c r="M12" s="78" t="str">
        <v>Chargeur</v>
      </c>
    </row>
    <row r="13" spans="1:13" ht="16.05" customHeight="1">
      <c r="A13" s="78" t="s">
        <v>674</v>
      </c>
      <c r="B13" s="78" t="s">
        <v>675</v>
      </c>
      <c r="D13" s="78" t="s">
        <v>700</v>
      </c>
      <c r="E13" s="78" t="s">
        <v>701</v>
      </c>
      <c r="F13" s="84"/>
      <c r="G13" s="83" t="str">
        <f>_xlfn.XLOOKUP(_7.2.Liste_nouvelles_données[[#This Row],[N° article]],_7.1.Liste_nouvelles_données[N° article],_7.1.Liste_nouvelles_données[Libellé],"Nouvel article")</f>
        <v>Nouvel article</v>
      </c>
      <c r="H13" s="83" t="str">
        <f>IFERROR(VLOOKUP(_7.2.Liste_nouvelles_données[[#This Row],[N° article]],_7.1.Liste_nouvelles_données[],2,FALSE),"Nouvel article")</f>
        <v>Nouvel article</v>
      </c>
      <c r="L13" s="78" t="str">
        <v>A0028</v>
      </c>
      <c r="M13" s="78" t="str">
        <v>Écouteur</v>
      </c>
    </row>
    <row r="14" spans="1:13">
      <c r="A14" s="78" t="s">
        <v>663</v>
      </c>
      <c r="B14" s="78" t="s">
        <v>676</v>
      </c>
      <c r="D14" s="78" t="s">
        <v>672</v>
      </c>
      <c r="E14" s="78" t="s">
        <v>673</v>
      </c>
      <c r="F14" s="84"/>
      <c r="G14" s="83" t="str">
        <f>_xlfn.XLOOKUP(_7.2.Liste_nouvelles_données[[#This Row],[N° article]],_7.1.Liste_nouvelles_données[N° article],_7.1.Liste_nouvelles_données[Libellé],"Nouvel article")</f>
        <v>Console de jeux</v>
      </c>
      <c r="H14" s="83" t="str">
        <f>IFERROR(VLOOKUP(_7.2.Liste_nouvelles_données[[#This Row],[N° article]],_7.1.Liste_nouvelles_données[],2,FALSE),"Nouvel article")</f>
        <v>Console de jeux</v>
      </c>
      <c r="L14" s="78" t="str">
        <v>A0029</v>
      </c>
      <c r="M14" s="78" t="str">
        <v>Canapé</v>
      </c>
    </row>
    <row r="15" spans="1:13" ht="16.05" customHeight="1">
      <c r="A15" s="78" t="s">
        <v>665</v>
      </c>
      <c r="B15" s="78" t="s">
        <v>677</v>
      </c>
      <c r="D15" s="78" t="s">
        <v>698</v>
      </c>
      <c r="E15" s="78" t="s">
        <v>699</v>
      </c>
      <c r="F15" s="84"/>
      <c r="G15" s="83" t="str">
        <f>_xlfn.XLOOKUP(_7.2.Liste_nouvelles_données[[#This Row],[N° article]],_7.1.Liste_nouvelles_données[N° article],_7.1.Liste_nouvelles_données[Libellé],"Nouvel article")</f>
        <v>Nouvel article</v>
      </c>
      <c r="H15" s="83" t="str">
        <f>IFERROR(VLOOKUP(_7.2.Liste_nouvelles_données[[#This Row],[N° article]],_7.1.Liste_nouvelles_données[],2,FALSE),"Nouvel article")</f>
        <v>Nouvel article</v>
      </c>
      <c r="L15" s="78" t="str">
        <v>A0030</v>
      </c>
      <c r="M15" s="78" t="str">
        <v>Voiture</v>
      </c>
    </row>
    <row r="16" spans="1:13">
      <c r="A16" s="78" t="s">
        <v>668</v>
      </c>
      <c r="B16" s="78" t="s">
        <v>678</v>
      </c>
      <c r="D16" s="78" t="s">
        <v>658</v>
      </c>
      <c r="E16" s="78" t="s">
        <v>687</v>
      </c>
      <c r="F16" s="84"/>
      <c r="G16" s="83" t="str">
        <f>_xlfn.XLOOKUP(_7.2.Liste_nouvelles_données[[#This Row],[N° article]],_7.1.Liste_nouvelles_données[N° article],_7.1.Liste_nouvelles_données[Libellé],"Nouvel article")</f>
        <v>Couverts</v>
      </c>
      <c r="H16" s="83" t="str">
        <f>IFERROR(VLOOKUP(_7.2.Liste_nouvelles_données[[#This Row],[N° article]],_7.1.Liste_nouvelles_données[],2,FALSE),"Nouvel article")</f>
        <v>Couverts</v>
      </c>
    </row>
    <row r="17" spans="1:8">
      <c r="A17" s="78" t="s">
        <v>671</v>
      </c>
      <c r="B17" s="78" t="s">
        <v>679</v>
      </c>
      <c r="D17" s="78" t="s">
        <v>706</v>
      </c>
      <c r="E17" s="78" t="s">
        <v>707</v>
      </c>
      <c r="F17" s="84"/>
      <c r="G17" s="83" t="str">
        <f>_xlfn.XLOOKUP(_7.2.Liste_nouvelles_données[[#This Row],[N° article]],_7.1.Liste_nouvelles_données[N° article],_7.1.Liste_nouvelles_données[Libellé],"Nouvel article")</f>
        <v>Nouvel article</v>
      </c>
      <c r="H17" s="83" t="str">
        <f>IFERROR(VLOOKUP(_7.2.Liste_nouvelles_données[[#This Row],[N° article]],_7.1.Liste_nouvelles_données[],2,FALSE),"Nouvel article")</f>
        <v>Nouvel article</v>
      </c>
    </row>
    <row r="18" spans="1:8">
      <c r="A18" s="78" t="s">
        <v>680</v>
      </c>
      <c r="B18" s="78" t="s">
        <v>251</v>
      </c>
      <c r="D18" s="78" t="s">
        <v>665</v>
      </c>
      <c r="E18" s="78" t="s">
        <v>677</v>
      </c>
      <c r="F18" s="84"/>
      <c r="G18" s="83" t="str">
        <f>_xlfn.XLOOKUP(_7.2.Liste_nouvelles_données[[#This Row],[N° article]],_7.1.Liste_nouvelles_données[N° article],_7.1.Liste_nouvelles_données[Libellé],"Nouvel article")</f>
        <v>Festival</v>
      </c>
      <c r="H18" s="83" t="str">
        <f>IFERROR(VLOOKUP(_7.2.Liste_nouvelles_données[[#This Row],[N° article]],_7.1.Liste_nouvelles_données[],2,FALSE),"Nouvel article")</f>
        <v>Festival</v>
      </c>
    </row>
    <row r="19" spans="1:8">
      <c r="A19" s="78" t="s">
        <v>681</v>
      </c>
      <c r="B19" s="78" t="s">
        <v>682</v>
      </c>
      <c r="D19" s="78" t="s">
        <v>696</v>
      </c>
      <c r="E19" s="78" t="s">
        <v>697</v>
      </c>
      <c r="F19" s="84"/>
      <c r="G19" s="83" t="str">
        <f>_xlfn.XLOOKUP(_7.2.Liste_nouvelles_données[[#This Row],[N° article]],_7.1.Liste_nouvelles_données[N° article],_7.1.Liste_nouvelles_données[Libellé],"Nouvel article")</f>
        <v>Nouvel article</v>
      </c>
      <c r="H19" s="83" t="str">
        <f>IFERROR(VLOOKUP(_7.2.Liste_nouvelles_données[[#This Row],[N° article]],_7.1.Liste_nouvelles_données[],2,FALSE),"Nouvel article")</f>
        <v>Nouvel article</v>
      </c>
    </row>
    <row r="20" spans="1:8">
      <c r="A20" s="78" t="s">
        <v>683</v>
      </c>
      <c r="B20" s="78" t="s">
        <v>684</v>
      </c>
      <c r="D20" s="78" t="s">
        <v>702</v>
      </c>
      <c r="E20" s="78" t="s">
        <v>212</v>
      </c>
      <c r="F20" s="84"/>
      <c r="G20" s="83" t="str">
        <f>_xlfn.XLOOKUP(_7.2.Liste_nouvelles_données[[#This Row],[N° article]],_7.1.Liste_nouvelles_données[N° article],_7.1.Liste_nouvelles_données[Libellé],"Nouvel article")</f>
        <v>Nouvel article</v>
      </c>
      <c r="H20" s="83" t="str">
        <f>IFERROR(VLOOKUP(_7.2.Liste_nouvelles_données[[#This Row],[N° article]],_7.1.Liste_nouvelles_données[],2,FALSE),"Nouvel article")</f>
        <v>Nouvel article</v>
      </c>
    </row>
    <row r="21" spans="1:8">
      <c r="A21" s="78" t="s">
        <v>685</v>
      </c>
      <c r="B21" s="78" t="s">
        <v>686</v>
      </c>
      <c r="D21" s="78" t="s">
        <v>664</v>
      </c>
      <c r="E21" s="78" t="s">
        <v>254</v>
      </c>
      <c r="F21" s="84"/>
      <c r="G21" s="83" t="str">
        <f>_xlfn.XLOOKUP(_7.2.Liste_nouvelles_données[[#This Row],[N° article]],_7.1.Liste_nouvelles_données[N° article],_7.1.Liste_nouvelles_données[Libellé],"Nouvel article")</f>
        <v>Ordinateur</v>
      </c>
      <c r="H21" s="83" t="str">
        <f>IFERROR(VLOOKUP(_7.2.Liste_nouvelles_données[[#This Row],[N° article]],_7.1.Liste_nouvelles_données[],2,FALSE),"Nouvel article")</f>
        <v>Ordinateur</v>
      </c>
    </row>
    <row r="22" spans="1:8">
      <c r="A22" s="78" t="s">
        <v>658</v>
      </c>
      <c r="B22" s="78" t="s">
        <v>687</v>
      </c>
      <c r="D22" s="78" t="s">
        <v>659</v>
      </c>
      <c r="E22" s="78" t="s">
        <v>660</v>
      </c>
      <c r="F22" s="84"/>
      <c r="G22" s="83" t="str">
        <f>_xlfn.XLOOKUP(_7.2.Liste_nouvelles_données[[#This Row],[N° article]],_7.1.Liste_nouvelles_données[N° article],_7.1.Liste_nouvelles_données[Libellé],"Nouvel article")</f>
        <v>Pantalon</v>
      </c>
      <c r="H22" s="83" t="str">
        <f>IFERROR(VLOOKUP(_7.2.Liste_nouvelles_données[[#This Row],[N° article]],_7.1.Liste_nouvelles_données[],2,FALSE),"Nouvel article")</f>
        <v>Pantalon</v>
      </c>
    </row>
    <row r="23" spans="1:8">
      <c r="A23" s="78" t="s">
        <v>688</v>
      </c>
      <c r="B23" s="78" t="s">
        <v>689</v>
      </c>
      <c r="D23" s="78" t="s">
        <v>694</v>
      </c>
      <c r="E23" s="78" t="s">
        <v>210</v>
      </c>
      <c r="F23" s="84"/>
      <c r="G23" s="83" t="str">
        <f>_xlfn.XLOOKUP(_7.2.Liste_nouvelles_données[[#This Row],[N° article]],_7.1.Liste_nouvelles_données[N° article],_7.1.Liste_nouvelles_données[Libellé],"Nouvel article")</f>
        <v>Nouvel article</v>
      </c>
      <c r="H23" s="83" t="str">
        <f>IFERROR(VLOOKUP(_7.2.Liste_nouvelles_données[[#This Row],[N° article]],_7.1.Liste_nouvelles_données[],2,FALSE),"Nouvel article")</f>
        <v>Nouvel article</v>
      </c>
    </row>
    <row r="24" spans="1:8">
      <c r="A24" s="78" t="s">
        <v>690</v>
      </c>
      <c r="B24" s="78" t="s">
        <v>691</v>
      </c>
      <c r="D24" s="78" t="s">
        <v>666</v>
      </c>
      <c r="E24" s="78" t="s">
        <v>667</v>
      </c>
      <c r="F24" s="84"/>
      <c r="G24" s="83" t="str">
        <f>_xlfn.XLOOKUP(_7.2.Liste_nouvelles_données[[#This Row],[N° article]],_7.1.Liste_nouvelles_données[N° article],_7.1.Liste_nouvelles_données[Libellé],"Nouvel article")</f>
        <v>Short</v>
      </c>
      <c r="H24" s="83" t="str">
        <f>IFERROR(VLOOKUP(_7.2.Liste_nouvelles_données[[#This Row],[N° article]],_7.1.Liste_nouvelles_données[],2,FALSE),"Nouvel article")</f>
        <v>Short</v>
      </c>
    </row>
    <row r="25" spans="1:8">
      <c r="A25" s="78" t="s">
        <v>692</v>
      </c>
      <c r="B25" s="78" t="s">
        <v>693</v>
      </c>
      <c r="D25" s="78" t="s">
        <v>657</v>
      </c>
      <c r="E25" s="78" t="s">
        <v>209</v>
      </c>
      <c r="F25" s="84"/>
      <c r="G25" s="83" t="str">
        <f>_xlfn.XLOOKUP(_7.2.Liste_nouvelles_données[[#This Row],[N° article]],_7.1.Liste_nouvelles_données[N° article],_7.1.Liste_nouvelles_données[Libellé],"Nouvel article")</f>
        <v>Tee-shirt</v>
      </c>
      <c r="H25" s="83" t="str">
        <f>IFERROR(VLOOKUP(_7.2.Liste_nouvelles_données[[#This Row],[N° article]],_7.1.Liste_nouvelles_données[],2,FALSE),"Nouvel article")</f>
        <v>Tee-shirt</v>
      </c>
    </row>
    <row r="26" spans="1:8">
      <c r="D26" s="78" t="s">
        <v>663</v>
      </c>
      <c r="E26" s="78" t="s">
        <v>676</v>
      </c>
      <c r="F26" s="84"/>
      <c r="G26" s="83" t="str">
        <f>_xlfn.XLOOKUP(_7.2.Liste_nouvelles_données[[#This Row],[N° article]],_7.1.Liste_nouvelles_données[N° article],_7.1.Liste_nouvelles_données[Libellé],"Nouvel article")</f>
        <v>Téléphone</v>
      </c>
      <c r="H26" s="83" t="str">
        <f>IFERROR(VLOOKUP(_7.2.Liste_nouvelles_données[[#This Row],[N° article]],_7.1.Liste_nouvelles_données[],2,FALSE),"Nouvel article")</f>
        <v>Téléphone</v>
      </c>
    </row>
    <row r="27" spans="1:8">
      <c r="D27" s="78" t="s">
        <v>674</v>
      </c>
      <c r="E27" s="78" t="s">
        <v>675</v>
      </c>
      <c r="F27" s="84"/>
      <c r="G27" s="83" t="str">
        <f>_xlfn.XLOOKUP(_7.2.Liste_nouvelles_données[[#This Row],[N° article]],_7.1.Liste_nouvelles_données[N° article],_7.1.Liste_nouvelles_données[Libellé],"Nouvel article")</f>
        <v>Télévision</v>
      </c>
      <c r="H27" s="83" t="str">
        <f>IFERROR(VLOOKUP(_7.2.Liste_nouvelles_données[[#This Row],[N° article]],_7.1.Liste_nouvelles_données[],2,FALSE),"Nouvel article")</f>
        <v>Télévision</v>
      </c>
    </row>
    <row r="28" spans="1:8">
      <c r="D28" s="78" t="s">
        <v>703</v>
      </c>
      <c r="E28" s="78" t="s">
        <v>704</v>
      </c>
      <c r="F28" s="84"/>
      <c r="G28" s="83" t="str">
        <f>_xlfn.XLOOKUP(_7.2.Liste_nouvelles_données[[#This Row],[N° article]],_7.1.Liste_nouvelles_données[N° article],_7.1.Liste_nouvelles_données[Libellé],"Nouvel article")</f>
        <v>Nouvel article</v>
      </c>
      <c r="H28" s="83" t="str">
        <f>IFERROR(VLOOKUP(_7.2.Liste_nouvelles_données[[#This Row],[N° article]],_7.1.Liste_nouvelles_données[],2,FALSE),"Nouvel article")</f>
        <v>Nouvel article</v>
      </c>
    </row>
    <row r="29" spans="1:8">
      <c r="D29" s="78" t="s">
        <v>695</v>
      </c>
      <c r="E29" s="78" t="s">
        <v>710</v>
      </c>
      <c r="F29" s="84"/>
      <c r="G29" s="83" t="str">
        <f>_xlfn.XLOOKUP(_7.2.Liste_nouvelles_données[[#This Row],[N° article]],_7.1.Liste_nouvelles_données[N° article],_7.1.Liste_nouvelles_données[Libellé],"Nouvel article")</f>
        <v>Nouvel article</v>
      </c>
      <c r="H29" s="83" t="str">
        <f>IFERROR(VLOOKUP(_7.2.Liste_nouvelles_données[[#This Row],[N° article]],_7.1.Liste_nouvelles_données[],2,FALSE),"Nouvel article")</f>
        <v>Nouvel article</v>
      </c>
    </row>
  </sheetData>
  <mergeCells count="1">
    <mergeCell ref="J5:M5"/>
  </mergeCells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3C1DD-8CF6-F740-961F-AEC77E3C0148}">
  <sheetPr>
    <tabColor theme="8" tint="0.79998168889431442"/>
  </sheetPr>
  <dimension ref="A1:G21"/>
  <sheetViews>
    <sheetView showGridLines="0" zoomScaleNormal="100" workbookViewId="0">
      <selection activeCell="J15" sqref="J15"/>
    </sheetView>
  </sheetViews>
  <sheetFormatPr baseColWidth="10" defaultColWidth="10.77734375" defaultRowHeight="15.6"/>
  <cols>
    <col min="1" max="3" width="13.77734375" style="78" customWidth="1"/>
    <col min="4" max="4" width="5.77734375" style="78" customWidth="1"/>
    <col min="5" max="5" width="13.77734375" style="78" customWidth="1"/>
    <col min="6" max="7" width="17.77734375" style="78" customWidth="1"/>
    <col min="8" max="16384" width="10.77734375" style="78"/>
  </cols>
  <sheetData>
    <row r="1" spans="1:7">
      <c r="A1" s="79" t="s">
        <v>132</v>
      </c>
      <c r="B1" s="79"/>
      <c r="C1" s="79"/>
      <c r="D1" s="79"/>
      <c r="E1" s="87"/>
      <c r="F1" s="87"/>
      <c r="G1" s="87"/>
    </row>
    <row r="2" spans="1:7">
      <c r="A2" s="81" t="s">
        <v>1122</v>
      </c>
      <c r="B2" s="81"/>
      <c r="C2" s="81"/>
      <c r="D2" s="81"/>
      <c r="E2" s="86"/>
      <c r="F2" s="86"/>
      <c r="G2" s="86"/>
    </row>
    <row r="3" spans="1:7">
      <c r="A3" s="90" t="s">
        <v>894</v>
      </c>
      <c r="B3" s="81"/>
      <c r="C3" s="81"/>
      <c r="D3" s="81"/>
      <c r="E3" s="86"/>
      <c r="F3" s="86"/>
      <c r="G3" s="86"/>
    </row>
    <row r="4" spans="1:7">
      <c r="A4" s="81" t="s">
        <v>1123</v>
      </c>
      <c r="B4" s="81"/>
      <c r="C4" s="81"/>
      <c r="D4" s="81"/>
      <c r="E4" s="86"/>
      <c r="F4" s="86"/>
      <c r="G4" s="86"/>
    </row>
    <row r="6" spans="1:7" ht="28.8">
      <c r="A6" s="5" t="s">
        <v>655</v>
      </c>
      <c r="B6" s="5" t="s">
        <v>715</v>
      </c>
      <c r="C6" s="5" t="s">
        <v>716</v>
      </c>
      <c r="E6" s="26" t="s">
        <v>655</v>
      </c>
      <c r="F6" s="26" t="s">
        <v>717</v>
      </c>
      <c r="G6" s="27" t="s">
        <v>718</v>
      </c>
    </row>
    <row r="7" spans="1:7">
      <c r="A7" s="104" t="s">
        <v>1124</v>
      </c>
      <c r="B7" s="105">
        <v>755</v>
      </c>
      <c r="C7" s="105">
        <v>500</v>
      </c>
      <c r="E7" s="97" t="s">
        <v>1130</v>
      </c>
      <c r="F7" s="98">
        <f>IF(_xlfn.XLOOKUP(Nouveau_Tarif[[#This Row],[N° article]],Tarifs[N° article],Tarifs[Tarif 2031],"N° Inconnu")=0,_xlfn.XLOOKUP(Nouveau_Tarif[[#This Row],[N° article]],Tarifs[N° article],Tarifs[Tarif 2030],"N° Inconnu"),_xlfn.XLOOKUP(Nouveau_Tarif[[#This Row],[N° article]],Tarifs[N° article],Tarifs[Tarif 2031],"N° Inconnu"))</f>
        <v>164</v>
      </c>
      <c r="G7" s="99">
        <f>IF(_xlfn.XLOOKUP(Nouveau_Tarif[[#This Row],[N° article]],Tarifs[N° article],Tarifs[Tarif 2031],"N° article inconnu")=0,
_xlfn.XLOOKUP(Nouveau_Tarif[[#This Row],[N° article]],Tarifs[N° article],Tarifs[Tarif 2030],"N° article inconnu"),
_xlfn.XLOOKUP(Nouveau_Tarif[[#This Row],[N° article]],Tarifs[N° article],Tarifs[Tarif 2031],"N° article inconnu"))</f>
        <v>164</v>
      </c>
    </row>
    <row r="8" spans="1:7" ht="16.05" customHeight="1">
      <c r="A8" s="104" t="s">
        <v>1125</v>
      </c>
      <c r="B8" s="105">
        <v>580</v>
      </c>
      <c r="C8" s="105"/>
      <c r="E8" s="97" t="s">
        <v>1134</v>
      </c>
      <c r="F8" s="98" t="str">
        <f>IF(_xlfn.XLOOKUP(Nouveau_Tarif[[#This Row],[N° article]],Tarifs[N° article],Tarifs[Tarif 2031],"N° Inconnu")=0,_xlfn.XLOOKUP(Nouveau_Tarif[[#This Row],[N° article]],Tarifs[N° article],Tarifs[Tarif 2030],"N° Inconnu"),_xlfn.XLOOKUP(Nouveau_Tarif[[#This Row],[N° article]],Tarifs[N° article],Tarifs[Tarif 2031],"N° Inconnu"))</f>
        <v>N° Inconnu</v>
      </c>
      <c r="G8" s="99" t="str">
        <f>IF(_xlfn.XLOOKUP(Nouveau_Tarif[[#This Row],[N° article]],Tarifs[N° article],Tarifs[Tarif 2031],"N° article inconnu")=0,
_xlfn.XLOOKUP(Nouveau_Tarif[[#This Row],[N° article]],Tarifs[N° article],Tarifs[Tarif 2030],"N° article inconnu"),
_xlfn.XLOOKUP(Nouveau_Tarif[[#This Row],[N° article]],Tarifs[N° article],Tarifs[Tarif 2031],"N° article inconnu"))</f>
        <v>N° article inconnu</v>
      </c>
    </row>
    <row r="9" spans="1:7">
      <c r="A9" s="104" t="s">
        <v>1126</v>
      </c>
      <c r="B9" s="105">
        <v>344</v>
      </c>
      <c r="C9" s="105">
        <v>100</v>
      </c>
      <c r="E9" s="97" t="s">
        <v>1126</v>
      </c>
      <c r="F9" s="98">
        <f>IF(_xlfn.XLOOKUP(Nouveau_Tarif[[#This Row],[N° article]],Tarifs[N° article],Tarifs[Tarif 2031],"N° Inconnu")=0,_xlfn.XLOOKUP(Nouveau_Tarif[[#This Row],[N° article]],Tarifs[N° article],Tarifs[Tarif 2030],"N° Inconnu"),_xlfn.XLOOKUP(Nouveau_Tarif[[#This Row],[N° article]],Tarifs[N° article],Tarifs[Tarif 2031],"N° Inconnu"))</f>
        <v>100</v>
      </c>
      <c r="G9" s="99">
        <f>IF(_xlfn.XLOOKUP(Nouveau_Tarif[[#This Row],[N° article]],Tarifs[N° article],Tarifs[Tarif 2031],"N° article inconnu")=0,
_xlfn.XLOOKUP(Nouveau_Tarif[[#This Row],[N° article]],Tarifs[N° article],Tarifs[Tarif 2030],"N° article inconnu"),
_xlfn.XLOOKUP(Nouveau_Tarif[[#This Row],[N° article]],Tarifs[N° article],Tarifs[Tarif 2031],"N° article inconnu"))</f>
        <v>100</v>
      </c>
    </row>
    <row r="10" spans="1:7" ht="16.05" customHeight="1">
      <c r="A10" s="104" t="s">
        <v>1127</v>
      </c>
      <c r="B10" s="105">
        <v>602</v>
      </c>
      <c r="C10" s="105">
        <v>188</v>
      </c>
      <c r="E10" s="100" t="s">
        <v>1133</v>
      </c>
      <c r="F10" s="98">
        <f>IF(_xlfn.XLOOKUP(Nouveau_Tarif[[#This Row],[N° article]],Tarifs[N° article],Tarifs[Tarif 2031],"N° Inconnu")=0,_xlfn.XLOOKUP(Nouveau_Tarif[[#This Row],[N° article]],Tarifs[N° article],Tarifs[Tarif 2030],"N° Inconnu"),_xlfn.XLOOKUP(Nouveau_Tarif[[#This Row],[N° article]],Tarifs[N° article],Tarifs[Tarif 2031],"N° Inconnu"))</f>
        <v>947</v>
      </c>
      <c r="G10" s="99">
        <f>IF(_xlfn.XLOOKUP(Nouveau_Tarif[[#This Row],[N° article]],Tarifs[N° article],Tarifs[Tarif 2031],"N° article inconnu")=0,
_xlfn.XLOOKUP(Nouveau_Tarif[[#This Row],[N° article]],Tarifs[N° article],Tarifs[Tarif 2030],"N° article inconnu"),
_xlfn.XLOOKUP(Nouveau_Tarif[[#This Row],[N° article]],Tarifs[N° article],Tarifs[Tarif 2031],"N° article inconnu"))</f>
        <v>947</v>
      </c>
    </row>
    <row r="11" spans="1:7">
      <c r="A11" s="104" t="s">
        <v>1128</v>
      </c>
      <c r="B11" s="105">
        <v>351</v>
      </c>
      <c r="C11" s="105">
        <v>632</v>
      </c>
      <c r="E11" s="100" t="s">
        <v>1136</v>
      </c>
      <c r="F11" s="98" t="str">
        <f>IF(_xlfn.XLOOKUP(Nouveau_Tarif[[#This Row],[N° article]],Tarifs[N° article],Tarifs[Tarif 2031],"N° Inconnu")=0,_xlfn.XLOOKUP(Nouveau_Tarif[[#This Row],[N° article]],Tarifs[N° article],Tarifs[Tarif 2030],"N° Inconnu"),_xlfn.XLOOKUP(Nouveau_Tarif[[#This Row],[N° article]],Tarifs[N° article],Tarifs[Tarif 2031],"N° Inconnu"))</f>
        <v>N° Inconnu</v>
      </c>
      <c r="G11" s="99" t="str">
        <f>IF(_xlfn.XLOOKUP(Nouveau_Tarif[[#This Row],[N° article]],Tarifs[N° article],Tarifs[Tarif 2031],"N° article inconnu")=0,
_xlfn.XLOOKUP(Nouveau_Tarif[[#This Row],[N° article]],Tarifs[N° article],Tarifs[Tarif 2030],"N° article inconnu"),
_xlfn.XLOOKUP(Nouveau_Tarif[[#This Row],[N° article]],Tarifs[N° article],Tarifs[Tarif 2031],"N° article inconnu"))</f>
        <v>N° article inconnu</v>
      </c>
    </row>
    <row r="12" spans="1:7">
      <c r="A12" s="104" t="s">
        <v>1129</v>
      </c>
      <c r="B12" s="105">
        <v>219</v>
      </c>
      <c r="C12" s="105"/>
      <c r="E12" s="97" t="s">
        <v>1129</v>
      </c>
      <c r="F12" s="98">
        <f>IF(_xlfn.XLOOKUP(Nouveau_Tarif[[#This Row],[N° article]],Tarifs[N° article],Tarifs[Tarif 2031],"N° Inconnu")=0,_xlfn.XLOOKUP(Nouveau_Tarif[[#This Row],[N° article]],Tarifs[N° article],Tarifs[Tarif 2030],"N° Inconnu"),_xlfn.XLOOKUP(Nouveau_Tarif[[#This Row],[N° article]],Tarifs[N° article],Tarifs[Tarif 2031],"N° Inconnu"))</f>
        <v>219</v>
      </c>
      <c r="G12" s="99">
        <f>IF(_xlfn.XLOOKUP(Nouveau_Tarif[[#This Row],[N° article]],Tarifs[N° article],Tarifs[Tarif 2031],"N° article inconnu")=0,
_xlfn.XLOOKUP(Nouveau_Tarif[[#This Row],[N° article]],Tarifs[N° article],Tarifs[Tarif 2030],"N° article inconnu"),
_xlfn.XLOOKUP(Nouveau_Tarif[[#This Row],[N° article]],Tarifs[N° article],Tarifs[Tarif 2031],"N° article inconnu"))</f>
        <v>219</v>
      </c>
    </row>
    <row r="13" spans="1:7">
      <c r="A13" s="104" t="s">
        <v>1130</v>
      </c>
      <c r="B13" s="105">
        <v>315</v>
      </c>
      <c r="C13" s="105">
        <v>164</v>
      </c>
      <c r="E13" s="101" t="s">
        <v>1124</v>
      </c>
      <c r="F13" s="98">
        <f>IF(_xlfn.XLOOKUP(Nouveau_Tarif[[#This Row],[N° article]],Tarifs[N° article],Tarifs[Tarif 2031],"N° Inconnu")=0,_xlfn.XLOOKUP(Nouveau_Tarif[[#This Row],[N° article]],Tarifs[N° article],Tarifs[Tarif 2030],"N° Inconnu"),_xlfn.XLOOKUP(Nouveau_Tarif[[#This Row],[N° article]],Tarifs[N° article],Tarifs[Tarif 2031],"N° Inconnu"))</f>
        <v>500</v>
      </c>
      <c r="G13" s="99">
        <f>IF(_xlfn.XLOOKUP(Nouveau_Tarif[[#This Row],[N° article]],Tarifs[N° article],Tarifs[Tarif 2031],"N° article inconnu")=0,
_xlfn.XLOOKUP(Nouveau_Tarif[[#This Row],[N° article]],Tarifs[N° article],Tarifs[Tarif 2030],"N° article inconnu"),
_xlfn.XLOOKUP(Nouveau_Tarif[[#This Row],[N° article]],Tarifs[N° article],Tarifs[Tarif 2031],"N° article inconnu"))</f>
        <v>500</v>
      </c>
    </row>
    <row r="14" spans="1:7" ht="16.05" customHeight="1">
      <c r="A14" s="104" t="s">
        <v>1131</v>
      </c>
      <c r="B14" s="105">
        <v>771</v>
      </c>
      <c r="C14" s="105">
        <v>777</v>
      </c>
      <c r="E14" s="97" t="s">
        <v>1131</v>
      </c>
      <c r="F14" s="98">
        <f>IF(_xlfn.XLOOKUP(Nouveau_Tarif[[#This Row],[N° article]],Tarifs[N° article],Tarifs[Tarif 2031],"N° Inconnu")=0,_xlfn.XLOOKUP(Nouveau_Tarif[[#This Row],[N° article]],Tarifs[N° article],Tarifs[Tarif 2030],"N° Inconnu"),_xlfn.XLOOKUP(Nouveau_Tarif[[#This Row],[N° article]],Tarifs[N° article],Tarifs[Tarif 2031],"N° Inconnu"))</f>
        <v>777</v>
      </c>
      <c r="G14" s="99">
        <f>IF(_xlfn.XLOOKUP(Nouveau_Tarif[[#This Row],[N° article]],Tarifs[N° article],Tarifs[Tarif 2031],"N° article inconnu")=0,
_xlfn.XLOOKUP(Nouveau_Tarif[[#This Row],[N° article]],Tarifs[N° article],Tarifs[Tarif 2030],"N° article inconnu"),
_xlfn.XLOOKUP(Nouveau_Tarif[[#This Row],[N° article]],Tarifs[N° article],Tarifs[Tarif 2031],"N° article inconnu"))</f>
        <v>777</v>
      </c>
    </row>
    <row r="15" spans="1:7">
      <c r="A15" s="104" t="s">
        <v>1132</v>
      </c>
      <c r="B15" s="105">
        <v>232</v>
      </c>
      <c r="C15" s="105"/>
      <c r="E15" s="97" t="s">
        <v>1132</v>
      </c>
      <c r="F15" s="98">
        <f>IF(_xlfn.XLOOKUP(Nouveau_Tarif[[#This Row],[N° article]],Tarifs[N° article],Tarifs[Tarif 2031],"N° Inconnu")=0,_xlfn.XLOOKUP(Nouveau_Tarif[[#This Row],[N° article]],Tarifs[N° article],Tarifs[Tarif 2030],"N° Inconnu"),_xlfn.XLOOKUP(Nouveau_Tarif[[#This Row],[N° article]],Tarifs[N° article],Tarifs[Tarif 2031],"N° Inconnu"))</f>
        <v>232</v>
      </c>
      <c r="G15" s="102">
        <f>IF(_xlfn.XLOOKUP(Nouveau_Tarif[[#This Row],[N° article]],Tarifs[N° article],Tarifs[Tarif 2031],"N° article inconnu")=0,
_xlfn.XLOOKUP(Nouveau_Tarif[[#This Row],[N° article]],Tarifs[N° article],Tarifs[Tarif 2030],"N° article inconnu"),
_xlfn.XLOOKUP(Nouveau_Tarif[[#This Row],[N° article]],Tarifs[N° article],Tarifs[Tarif 2031],"N° article inconnu"))</f>
        <v>232</v>
      </c>
    </row>
    <row r="16" spans="1:7" ht="16.05" customHeight="1">
      <c r="A16" s="104" t="s">
        <v>1133</v>
      </c>
      <c r="B16" s="105">
        <v>515</v>
      </c>
      <c r="C16" s="105">
        <v>947</v>
      </c>
      <c r="E16" s="100" t="s">
        <v>1138</v>
      </c>
      <c r="F16" s="98" t="str">
        <f>IF(_xlfn.XLOOKUP(Nouveau_Tarif[[#This Row],[N° article]],Tarifs[N° article],Tarifs[Tarif 2031],"N° Inconnu")=0,_xlfn.XLOOKUP(Nouveau_Tarif[[#This Row],[N° article]],Tarifs[N° article],Tarifs[Tarif 2030],"N° Inconnu"),_xlfn.XLOOKUP(Nouveau_Tarif[[#This Row],[N° article]],Tarifs[N° article],Tarifs[Tarif 2031],"N° Inconnu"))</f>
        <v>N° Inconnu</v>
      </c>
      <c r="G16" s="102" t="str">
        <f>IF(_xlfn.XLOOKUP(Nouveau_Tarif[[#This Row],[N° article]],Tarifs[N° article],Tarifs[Tarif 2031],"N° article inconnu")=0,
_xlfn.XLOOKUP(Nouveau_Tarif[[#This Row],[N° article]],Tarifs[N° article],Tarifs[Tarif 2030],"N° article inconnu"),
_xlfn.XLOOKUP(Nouveau_Tarif[[#This Row],[N° article]],Tarifs[N° article],Tarifs[Tarif 2031],"N° article inconnu"))</f>
        <v>N° article inconnu</v>
      </c>
    </row>
    <row r="17" spans="5:7">
      <c r="E17" s="97" t="s">
        <v>1137</v>
      </c>
      <c r="F17" s="103" t="str">
        <f>IF(_xlfn.XLOOKUP(Nouveau_Tarif[[#This Row],[N° article]],Tarifs[N° article],Tarifs[Tarif 2031],"N° Inconnu")=0,_xlfn.XLOOKUP(Nouveau_Tarif[[#This Row],[N° article]],Tarifs[N° article],Tarifs[Tarif 2030],"N° Inconnu"),_xlfn.XLOOKUP(Nouveau_Tarif[[#This Row],[N° article]],Tarifs[N° article],Tarifs[Tarif 2031],"N° Inconnu"))</f>
        <v>N° Inconnu</v>
      </c>
      <c r="G17" s="102" t="str">
        <f>IF(_xlfn.XLOOKUP(Nouveau_Tarif[[#This Row],[N° article]],Tarifs[N° article],Tarifs[Tarif 2031],"N° article inconnu")=0,
_xlfn.XLOOKUP(Nouveau_Tarif[[#This Row],[N° article]],Tarifs[N° article],Tarifs[Tarif 2030],"N° article inconnu"),
_xlfn.XLOOKUP(Nouveau_Tarif[[#This Row],[N° article]],Tarifs[N° article],Tarifs[Tarif 2031],"N° article inconnu"))</f>
        <v>N° article inconnu</v>
      </c>
    </row>
    <row r="18" spans="5:7">
      <c r="E18" s="97" t="s">
        <v>1128</v>
      </c>
      <c r="F18" s="103">
        <f>IF(_xlfn.XLOOKUP(Nouveau_Tarif[[#This Row],[N° article]],Tarifs[N° article],Tarifs[Tarif 2031],"N° Inconnu")=0,_xlfn.XLOOKUP(Nouveau_Tarif[[#This Row],[N° article]],Tarifs[N° article],Tarifs[Tarif 2030],"N° Inconnu"),_xlfn.XLOOKUP(Nouveau_Tarif[[#This Row],[N° article]],Tarifs[N° article],Tarifs[Tarif 2031],"N° Inconnu"))</f>
        <v>632</v>
      </c>
      <c r="G18" s="102">
        <f>IF(_xlfn.XLOOKUP(Nouveau_Tarif[[#This Row],[N° article]],Tarifs[N° article],Tarifs[Tarif 2031],"N° article inconnu")=0,
_xlfn.XLOOKUP(Nouveau_Tarif[[#This Row],[N° article]],Tarifs[N° article],Tarifs[Tarif 2030],"N° article inconnu"),
_xlfn.XLOOKUP(Nouveau_Tarif[[#This Row],[N° article]],Tarifs[N° article],Tarifs[Tarif 2031],"N° article inconnu"))</f>
        <v>632</v>
      </c>
    </row>
    <row r="19" spans="5:7">
      <c r="E19" s="97" t="s">
        <v>1125</v>
      </c>
      <c r="F19" s="98">
        <f>IF(_xlfn.XLOOKUP(Nouveau_Tarif[[#This Row],[N° article]],Tarifs[N° article],Tarifs[Tarif 2031],"N° Inconnu")=0,_xlfn.XLOOKUP(Nouveau_Tarif[[#This Row],[N° article]],Tarifs[N° article],Tarifs[Tarif 2030],"N° Inconnu"),_xlfn.XLOOKUP(Nouveau_Tarif[[#This Row],[N° article]],Tarifs[N° article],Tarifs[Tarif 2031],"N° Inconnu"))</f>
        <v>580</v>
      </c>
      <c r="G19" s="102">
        <f>IF(_xlfn.XLOOKUP(Nouveau_Tarif[[#This Row],[N° article]],Tarifs[N° article],Tarifs[Tarif 2031],"N° article inconnu")=0,
_xlfn.XLOOKUP(Nouveau_Tarif[[#This Row],[N° article]],Tarifs[N° article],Tarifs[Tarif 2030],"N° article inconnu"),
_xlfn.XLOOKUP(Nouveau_Tarif[[#This Row],[N° article]],Tarifs[N° article],Tarifs[Tarif 2031],"N° article inconnu"))</f>
        <v>580</v>
      </c>
    </row>
    <row r="20" spans="5:7">
      <c r="E20" s="97" t="s">
        <v>1135</v>
      </c>
      <c r="F20" s="98" t="str">
        <f>IF(_xlfn.XLOOKUP(Nouveau_Tarif[[#This Row],[N° article]],Tarifs[N° article],Tarifs[Tarif 2031],"N° Inconnu")=0,_xlfn.XLOOKUP(Nouveau_Tarif[[#This Row],[N° article]],Tarifs[N° article],Tarifs[Tarif 2030],"N° Inconnu"),_xlfn.XLOOKUP(Nouveau_Tarif[[#This Row],[N° article]],Tarifs[N° article],Tarifs[Tarif 2031],"N° Inconnu"))</f>
        <v>N° Inconnu</v>
      </c>
      <c r="G20" s="102" t="str">
        <f>IF(_xlfn.XLOOKUP(Nouveau_Tarif[[#This Row],[N° article]],Tarifs[N° article],Tarifs[Tarif 2031],"N° article inconnu")=0,
_xlfn.XLOOKUP(Nouveau_Tarif[[#This Row],[N° article]],Tarifs[N° article],Tarifs[Tarif 2030],"N° article inconnu"),
_xlfn.XLOOKUP(Nouveau_Tarif[[#This Row],[N° article]],Tarifs[N° article],Tarifs[Tarif 2031],"N° article inconnu"))</f>
        <v>N° article inconnu</v>
      </c>
    </row>
    <row r="21" spans="5:7">
      <c r="E21" s="97" t="s">
        <v>1127</v>
      </c>
      <c r="F21" s="98">
        <f>IF(_xlfn.XLOOKUP(Nouveau_Tarif[[#This Row],[N° article]],Tarifs[N° article],Tarifs[Tarif 2031],"N° Inconnu")=0,_xlfn.XLOOKUP(Nouveau_Tarif[[#This Row],[N° article]],Tarifs[N° article],Tarifs[Tarif 2030],"N° Inconnu"),_xlfn.XLOOKUP(Nouveau_Tarif[[#This Row],[N° article]],Tarifs[N° article],Tarifs[Tarif 2031],"N° Inconnu"))</f>
        <v>188</v>
      </c>
      <c r="G21" s="102">
        <f>IF(_xlfn.XLOOKUP(Nouveau_Tarif[[#This Row],[N° article]],Tarifs[N° article],Tarifs[Tarif 2031],"N° article inconnu")=0,
_xlfn.XLOOKUP(Nouveau_Tarif[[#This Row],[N° article]],Tarifs[N° article],Tarifs[Tarif 2030],"N° article inconnu"),
_xlfn.XLOOKUP(Nouveau_Tarif[[#This Row],[N° article]],Tarifs[N° article],Tarifs[Tarif 2031],"N° article inconnu"))</f>
        <v>188</v>
      </c>
    </row>
  </sheetData>
  <phoneticPr fontId="5" type="noConversion"/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DC50F-CB77-1649-A08C-DC70ACD4E61C}">
  <sheetPr>
    <tabColor theme="8" tint="0.79998168889431442"/>
  </sheetPr>
  <dimension ref="A1:N32"/>
  <sheetViews>
    <sheetView showGridLines="0" zoomScaleNormal="100" workbookViewId="0">
      <pane ySplit="9" topLeftCell="A14" activePane="bottomLeft" state="frozen"/>
      <selection pane="bottomLeft" activeCell="C7" sqref="C7:D7"/>
    </sheetView>
  </sheetViews>
  <sheetFormatPr baseColWidth="10" defaultColWidth="10.77734375" defaultRowHeight="14.4"/>
  <cols>
    <col min="1" max="1" width="17.77734375" style="56" customWidth="1"/>
    <col min="2" max="14" width="13.33203125" style="56" customWidth="1"/>
    <col min="15" max="17" width="10.77734375" style="56" customWidth="1"/>
    <col min="18" max="16384" width="10.77734375" style="56"/>
  </cols>
  <sheetData>
    <row r="1" spans="1:14">
      <c r="A1" s="29" t="s">
        <v>132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</row>
    <row r="2" spans="1:14">
      <c r="A2" s="31" t="s">
        <v>373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</row>
    <row r="3" spans="1:14">
      <c r="A3" s="42" t="s">
        <v>371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</row>
    <row r="4" spans="1:14">
      <c r="A4" s="72" t="s">
        <v>372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</row>
    <row r="6" spans="1:14" ht="30" customHeight="1">
      <c r="A6" s="15" t="s">
        <v>344</v>
      </c>
      <c r="B6" s="15" t="s">
        <v>187</v>
      </c>
      <c r="C6" s="116" t="s">
        <v>345</v>
      </c>
      <c r="D6" s="117"/>
      <c r="E6" s="121" t="s">
        <v>81</v>
      </c>
      <c r="F6" s="121"/>
      <c r="G6" s="121" t="s">
        <v>370</v>
      </c>
      <c r="H6" s="121"/>
    </row>
    <row r="7" spans="1:14" ht="30" customHeight="1">
      <c r="A7" s="11" t="s">
        <v>350</v>
      </c>
      <c r="B7" s="11" t="s">
        <v>191</v>
      </c>
      <c r="C7" s="118"/>
      <c r="D7" s="119"/>
      <c r="E7" s="120" cm="1">
        <f t="array" ref="E7">INDEX(_9.INDEX_EQUIVX[],_xlfn.XMATCH(A7,_9.INDEX_EQUIVX[Client]),_xlfn.XMATCH(B7,_9.INDEX_EQUIVX[#Headers]))</f>
        <v>21629</v>
      </c>
      <c r="F7" s="120"/>
      <c r="G7" s="120">
        <f>INDEX(_9.INDEX_EQUIVX[],MATCH(A7,_9.INDEX_EQUIVX[Client],0),MATCH(B7,_9.INDEX_EQUIVX[#Headers],0))</f>
        <v>21629</v>
      </c>
      <c r="H7" s="120"/>
    </row>
    <row r="9" spans="1:14">
      <c r="A9" s="5" t="s">
        <v>344</v>
      </c>
      <c r="B9" s="5" t="s">
        <v>186</v>
      </c>
      <c r="C9" s="5" t="s">
        <v>188</v>
      </c>
      <c r="D9" s="5" t="s">
        <v>189</v>
      </c>
      <c r="E9" s="5" t="s">
        <v>190</v>
      </c>
      <c r="F9" s="5" t="s">
        <v>191</v>
      </c>
      <c r="G9" s="5" t="s">
        <v>192</v>
      </c>
      <c r="H9" s="5" t="s">
        <v>193</v>
      </c>
      <c r="I9" s="5" t="s">
        <v>194</v>
      </c>
      <c r="J9" s="5" t="s">
        <v>195</v>
      </c>
      <c r="K9" s="5" t="s">
        <v>196</v>
      </c>
      <c r="L9" s="5" t="s">
        <v>197</v>
      </c>
      <c r="M9" s="5" t="s">
        <v>198</v>
      </c>
      <c r="N9" s="5" t="s">
        <v>348</v>
      </c>
    </row>
    <row r="10" spans="1:14">
      <c r="A10" s="5" t="s">
        <v>346</v>
      </c>
      <c r="B10" s="68">
        <v>47573</v>
      </c>
      <c r="C10" s="68">
        <v>15719</v>
      </c>
      <c r="D10" s="68">
        <v>42789</v>
      </c>
      <c r="E10" s="68">
        <v>95429</v>
      </c>
      <c r="F10" s="68">
        <v>28531</v>
      </c>
      <c r="G10" s="68">
        <v>88740</v>
      </c>
      <c r="H10" s="68">
        <v>42243</v>
      </c>
      <c r="I10" s="68">
        <v>16699</v>
      </c>
      <c r="J10" s="68">
        <v>44678</v>
      </c>
      <c r="K10" s="68">
        <v>45920</v>
      </c>
      <c r="L10" s="68">
        <v>73972</v>
      </c>
      <c r="M10" s="68">
        <v>17835</v>
      </c>
      <c r="N10" s="92">
        <f>SUM(_9.INDEX_EQUIVX[[#This Row],[Janvier]:[Décembre]])</f>
        <v>560128</v>
      </c>
    </row>
    <row r="11" spans="1:14">
      <c r="A11" s="5" t="s">
        <v>349</v>
      </c>
      <c r="B11" s="68">
        <v>83986</v>
      </c>
      <c r="C11" s="68">
        <v>82771</v>
      </c>
      <c r="D11" s="68">
        <v>71658</v>
      </c>
      <c r="E11" s="68">
        <v>20036</v>
      </c>
      <c r="F11" s="68">
        <v>47844</v>
      </c>
      <c r="G11" s="68">
        <v>62663</v>
      </c>
      <c r="H11" s="68">
        <v>58180</v>
      </c>
      <c r="I11" s="68">
        <v>52344</v>
      </c>
      <c r="J11" s="68">
        <v>90991</v>
      </c>
      <c r="K11" s="68">
        <v>99185</v>
      </c>
      <c r="L11" s="68">
        <v>78379</v>
      </c>
      <c r="M11" s="68">
        <v>25455</v>
      </c>
      <c r="N11" s="92">
        <f>SUM(_9.INDEX_EQUIVX[[#This Row],[Janvier]:[Décembre]])</f>
        <v>773492</v>
      </c>
    </row>
    <row r="12" spans="1:14">
      <c r="A12" s="5" t="s">
        <v>350</v>
      </c>
      <c r="B12" s="68">
        <v>12770</v>
      </c>
      <c r="C12" s="68">
        <v>49918</v>
      </c>
      <c r="D12" s="68">
        <v>58747</v>
      </c>
      <c r="E12" s="68">
        <v>57390</v>
      </c>
      <c r="F12" s="68">
        <v>21629</v>
      </c>
      <c r="G12" s="68">
        <v>41356</v>
      </c>
      <c r="H12" s="68">
        <v>79452</v>
      </c>
      <c r="I12" s="68">
        <v>28974</v>
      </c>
      <c r="J12" s="68">
        <v>13038</v>
      </c>
      <c r="K12" s="68">
        <v>81851</v>
      </c>
      <c r="L12" s="68">
        <v>69326</v>
      </c>
      <c r="M12" s="68">
        <v>74808</v>
      </c>
      <c r="N12" s="92">
        <f>SUM(_9.INDEX_EQUIVX[[#This Row],[Janvier]:[Décembre]])</f>
        <v>589259</v>
      </c>
    </row>
    <row r="13" spans="1:14">
      <c r="A13" s="5" t="s">
        <v>351</v>
      </c>
      <c r="B13" s="68">
        <v>25928</v>
      </c>
      <c r="C13" s="68">
        <v>49805</v>
      </c>
      <c r="D13" s="68">
        <v>64454</v>
      </c>
      <c r="E13" s="68">
        <v>87447</v>
      </c>
      <c r="F13" s="68">
        <v>64607</v>
      </c>
      <c r="G13" s="68">
        <v>91026</v>
      </c>
      <c r="H13" s="68">
        <v>38471</v>
      </c>
      <c r="I13" s="68">
        <v>48474</v>
      </c>
      <c r="J13" s="68">
        <v>63169</v>
      </c>
      <c r="K13" s="68">
        <v>18118</v>
      </c>
      <c r="L13" s="68">
        <v>82354</v>
      </c>
      <c r="M13" s="68">
        <v>40170</v>
      </c>
      <c r="N13" s="92">
        <f>SUM(_9.INDEX_EQUIVX[[#This Row],[Janvier]:[Décembre]])</f>
        <v>674023</v>
      </c>
    </row>
    <row r="14" spans="1:14">
      <c r="A14" s="5" t="s">
        <v>352</v>
      </c>
      <c r="B14" s="68">
        <v>94339</v>
      </c>
      <c r="C14" s="68">
        <v>34291</v>
      </c>
      <c r="D14" s="68">
        <v>89274</v>
      </c>
      <c r="E14" s="68">
        <v>88003</v>
      </c>
      <c r="F14" s="68">
        <v>48089</v>
      </c>
      <c r="G14" s="68">
        <v>60102</v>
      </c>
      <c r="H14" s="68">
        <v>20652</v>
      </c>
      <c r="I14" s="68">
        <v>68487</v>
      </c>
      <c r="J14" s="68">
        <v>40292</v>
      </c>
      <c r="K14" s="68">
        <v>84128</v>
      </c>
      <c r="L14" s="68">
        <v>23838</v>
      </c>
      <c r="M14" s="68">
        <v>13382</v>
      </c>
      <c r="N14" s="92">
        <f>SUM(_9.INDEX_EQUIVX[[#This Row],[Janvier]:[Décembre]])</f>
        <v>664877</v>
      </c>
    </row>
    <row r="15" spans="1:14">
      <c r="A15" s="5" t="s">
        <v>353</v>
      </c>
      <c r="B15" s="68">
        <v>11421</v>
      </c>
      <c r="C15" s="68">
        <v>20832</v>
      </c>
      <c r="D15" s="68">
        <v>66309</v>
      </c>
      <c r="E15" s="68">
        <v>10763</v>
      </c>
      <c r="F15" s="68">
        <v>90218</v>
      </c>
      <c r="G15" s="68">
        <v>50938</v>
      </c>
      <c r="H15" s="68">
        <v>88360</v>
      </c>
      <c r="I15" s="68">
        <v>41716</v>
      </c>
      <c r="J15" s="68">
        <v>53178</v>
      </c>
      <c r="K15" s="68">
        <v>10988</v>
      </c>
      <c r="L15" s="68">
        <v>18194</v>
      </c>
      <c r="M15" s="68">
        <v>53340</v>
      </c>
      <c r="N15" s="92">
        <f>SUM(_9.INDEX_EQUIVX[[#This Row],[Janvier]:[Décembre]])</f>
        <v>516257</v>
      </c>
    </row>
    <row r="16" spans="1:14">
      <c r="A16" s="5" t="s">
        <v>354</v>
      </c>
      <c r="B16" s="68">
        <v>20362</v>
      </c>
      <c r="C16" s="68">
        <v>54590</v>
      </c>
      <c r="D16" s="68">
        <v>28438</v>
      </c>
      <c r="E16" s="68">
        <v>88781</v>
      </c>
      <c r="F16" s="68">
        <v>22243</v>
      </c>
      <c r="G16" s="68">
        <v>51047</v>
      </c>
      <c r="H16" s="68">
        <v>19770</v>
      </c>
      <c r="I16" s="68">
        <v>72694</v>
      </c>
      <c r="J16" s="68">
        <v>40301</v>
      </c>
      <c r="K16" s="68">
        <v>52411</v>
      </c>
      <c r="L16" s="68">
        <v>84470</v>
      </c>
      <c r="M16" s="68">
        <v>39394</v>
      </c>
      <c r="N16" s="92">
        <f>SUM(_9.INDEX_EQUIVX[[#This Row],[Janvier]:[Décembre]])</f>
        <v>574501</v>
      </c>
    </row>
    <row r="17" spans="1:14">
      <c r="A17" s="5" t="s">
        <v>355</v>
      </c>
      <c r="B17" s="68">
        <v>85915</v>
      </c>
      <c r="C17" s="68">
        <v>63200</v>
      </c>
      <c r="D17" s="68">
        <v>77009</v>
      </c>
      <c r="E17" s="68">
        <v>89096</v>
      </c>
      <c r="F17" s="68">
        <v>56511</v>
      </c>
      <c r="G17" s="68">
        <v>63210</v>
      </c>
      <c r="H17" s="68">
        <v>17334</v>
      </c>
      <c r="I17" s="68">
        <v>79292</v>
      </c>
      <c r="J17" s="68">
        <v>17042</v>
      </c>
      <c r="K17" s="68">
        <v>58761</v>
      </c>
      <c r="L17" s="68">
        <v>30108</v>
      </c>
      <c r="M17" s="68">
        <v>82824</v>
      </c>
      <c r="N17" s="92">
        <f>SUM(_9.INDEX_EQUIVX[[#This Row],[Janvier]:[Décembre]])</f>
        <v>720302</v>
      </c>
    </row>
    <row r="18" spans="1:14">
      <c r="A18" s="5" t="s">
        <v>356</v>
      </c>
      <c r="B18" s="68">
        <v>60038</v>
      </c>
      <c r="C18" s="68">
        <v>94866</v>
      </c>
      <c r="D18" s="68">
        <v>69454</v>
      </c>
      <c r="E18" s="68">
        <v>54372</v>
      </c>
      <c r="F18" s="68">
        <v>56566</v>
      </c>
      <c r="G18" s="68">
        <v>94411</v>
      </c>
      <c r="H18" s="68">
        <v>74620</v>
      </c>
      <c r="I18" s="68">
        <v>97751</v>
      </c>
      <c r="J18" s="68">
        <v>98414</v>
      </c>
      <c r="K18" s="68">
        <v>22301</v>
      </c>
      <c r="L18" s="68">
        <v>92492</v>
      </c>
      <c r="M18" s="68">
        <v>17664</v>
      </c>
      <c r="N18" s="92">
        <f>SUM(_9.INDEX_EQUIVX[[#This Row],[Janvier]:[Décembre]])</f>
        <v>832949</v>
      </c>
    </row>
    <row r="19" spans="1:14">
      <c r="A19" s="5" t="s">
        <v>357</v>
      </c>
      <c r="B19" s="68">
        <v>68105</v>
      </c>
      <c r="C19" s="68">
        <v>45883</v>
      </c>
      <c r="D19" s="68">
        <v>65409</v>
      </c>
      <c r="E19" s="68">
        <v>51951</v>
      </c>
      <c r="F19" s="68">
        <v>67749</v>
      </c>
      <c r="G19" s="68">
        <v>15900</v>
      </c>
      <c r="H19" s="68">
        <v>95344</v>
      </c>
      <c r="I19" s="68">
        <v>96145</v>
      </c>
      <c r="J19" s="68">
        <v>77287</v>
      </c>
      <c r="K19" s="68">
        <v>46989</v>
      </c>
      <c r="L19" s="68">
        <v>92474</v>
      </c>
      <c r="M19" s="68">
        <v>78935</v>
      </c>
      <c r="N19" s="92">
        <f>SUM(_9.INDEX_EQUIVX[[#This Row],[Janvier]:[Décembre]])</f>
        <v>802171</v>
      </c>
    </row>
    <row r="20" spans="1:14">
      <c r="A20" s="5" t="s">
        <v>358</v>
      </c>
      <c r="B20" s="68">
        <v>61477</v>
      </c>
      <c r="C20" s="68">
        <v>71338</v>
      </c>
      <c r="D20" s="68">
        <v>83212</v>
      </c>
      <c r="E20" s="68">
        <v>71505</v>
      </c>
      <c r="F20" s="68">
        <v>31712</v>
      </c>
      <c r="G20" s="68">
        <v>30517</v>
      </c>
      <c r="H20" s="68">
        <v>81565</v>
      </c>
      <c r="I20" s="68">
        <v>16159</v>
      </c>
      <c r="J20" s="68">
        <v>49946</v>
      </c>
      <c r="K20" s="68">
        <v>95822</v>
      </c>
      <c r="L20" s="68">
        <v>28669</v>
      </c>
      <c r="M20" s="68">
        <v>61029</v>
      </c>
      <c r="N20" s="92">
        <f>SUM(_9.INDEX_EQUIVX[[#This Row],[Janvier]:[Décembre]])</f>
        <v>682951</v>
      </c>
    </row>
    <row r="21" spans="1:14">
      <c r="A21" s="5" t="s">
        <v>359</v>
      </c>
      <c r="B21" s="68">
        <v>97338</v>
      </c>
      <c r="C21" s="68">
        <v>46355</v>
      </c>
      <c r="D21" s="68">
        <v>45443</v>
      </c>
      <c r="E21" s="68">
        <v>42100</v>
      </c>
      <c r="F21" s="68">
        <v>48130</v>
      </c>
      <c r="G21" s="68">
        <v>84202</v>
      </c>
      <c r="H21" s="68">
        <v>14865</v>
      </c>
      <c r="I21" s="68">
        <v>93789</v>
      </c>
      <c r="J21" s="68">
        <v>17537</v>
      </c>
      <c r="K21" s="68">
        <v>36434</v>
      </c>
      <c r="L21" s="68">
        <v>33954</v>
      </c>
      <c r="M21" s="68">
        <v>88558</v>
      </c>
      <c r="N21" s="92">
        <f>SUM(_9.INDEX_EQUIVX[[#This Row],[Janvier]:[Décembre]])</f>
        <v>648705</v>
      </c>
    </row>
    <row r="22" spans="1:14">
      <c r="A22" s="5" t="s">
        <v>360</v>
      </c>
      <c r="B22" s="68">
        <v>16566</v>
      </c>
      <c r="C22" s="68">
        <v>34750</v>
      </c>
      <c r="D22" s="68">
        <v>13002</v>
      </c>
      <c r="E22" s="68">
        <v>94715</v>
      </c>
      <c r="F22" s="68">
        <v>17950</v>
      </c>
      <c r="G22" s="68">
        <v>76831</v>
      </c>
      <c r="H22" s="68">
        <v>13817</v>
      </c>
      <c r="I22" s="68">
        <v>20517</v>
      </c>
      <c r="J22" s="68">
        <v>75234</v>
      </c>
      <c r="K22" s="68">
        <v>73509</v>
      </c>
      <c r="L22" s="68">
        <v>60621</v>
      </c>
      <c r="M22" s="68">
        <v>80604</v>
      </c>
      <c r="N22" s="92">
        <f>SUM(_9.INDEX_EQUIVX[[#This Row],[Janvier]:[Décembre]])</f>
        <v>578116</v>
      </c>
    </row>
    <row r="23" spans="1:14">
      <c r="A23" s="5" t="s">
        <v>361</v>
      </c>
      <c r="B23" s="68">
        <v>11390</v>
      </c>
      <c r="C23" s="68">
        <v>14631</v>
      </c>
      <c r="D23" s="68">
        <v>51258</v>
      </c>
      <c r="E23" s="68">
        <v>50597</v>
      </c>
      <c r="F23" s="68">
        <v>40552</v>
      </c>
      <c r="G23" s="68">
        <v>49715</v>
      </c>
      <c r="H23" s="68">
        <v>70399</v>
      </c>
      <c r="I23" s="68">
        <v>31225</v>
      </c>
      <c r="J23" s="68">
        <v>79197</v>
      </c>
      <c r="K23" s="68">
        <v>92470</v>
      </c>
      <c r="L23" s="68">
        <v>72877</v>
      </c>
      <c r="M23" s="68">
        <v>16053</v>
      </c>
      <c r="N23" s="92">
        <f>SUM(_9.INDEX_EQUIVX[[#This Row],[Janvier]:[Décembre]])</f>
        <v>580364</v>
      </c>
    </row>
    <row r="24" spans="1:14">
      <c r="A24" s="5" t="s">
        <v>362</v>
      </c>
      <c r="B24" s="68">
        <v>35700</v>
      </c>
      <c r="C24" s="68">
        <v>80494</v>
      </c>
      <c r="D24" s="68">
        <v>27903</v>
      </c>
      <c r="E24" s="68">
        <v>15752</v>
      </c>
      <c r="F24" s="68">
        <v>35664</v>
      </c>
      <c r="G24" s="68">
        <v>65123</v>
      </c>
      <c r="H24" s="68">
        <v>69306</v>
      </c>
      <c r="I24" s="68">
        <v>48885</v>
      </c>
      <c r="J24" s="68">
        <v>70718</v>
      </c>
      <c r="K24" s="68">
        <v>38248</v>
      </c>
      <c r="L24" s="68">
        <v>65262</v>
      </c>
      <c r="M24" s="68">
        <v>79868</v>
      </c>
      <c r="N24" s="92">
        <f>SUM(_9.INDEX_EQUIVX[[#This Row],[Janvier]:[Décembre]])</f>
        <v>632923</v>
      </c>
    </row>
    <row r="25" spans="1:14">
      <c r="A25" s="5" t="s">
        <v>363</v>
      </c>
      <c r="B25" s="68">
        <v>58867</v>
      </c>
      <c r="C25" s="68">
        <v>90273</v>
      </c>
      <c r="D25" s="68">
        <v>21239</v>
      </c>
      <c r="E25" s="68">
        <v>68226</v>
      </c>
      <c r="F25" s="68">
        <v>15912</v>
      </c>
      <c r="G25" s="68">
        <v>95070</v>
      </c>
      <c r="H25" s="68">
        <v>71903</v>
      </c>
      <c r="I25" s="68">
        <v>96099</v>
      </c>
      <c r="J25" s="68">
        <v>92017</v>
      </c>
      <c r="K25" s="68">
        <v>77718</v>
      </c>
      <c r="L25" s="68">
        <v>84918</v>
      </c>
      <c r="M25" s="68">
        <v>40639</v>
      </c>
      <c r="N25" s="92">
        <f>SUM(_9.INDEX_EQUIVX[[#This Row],[Janvier]:[Décembre]])</f>
        <v>812881</v>
      </c>
    </row>
    <row r="26" spans="1:14">
      <c r="A26" s="5" t="s">
        <v>364</v>
      </c>
      <c r="B26" s="68">
        <v>12343</v>
      </c>
      <c r="C26" s="68">
        <v>43400</v>
      </c>
      <c r="D26" s="68">
        <v>82448</v>
      </c>
      <c r="E26" s="68">
        <v>22634</v>
      </c>
      <c r="F26" s="68">
        <v>80348</v>
      </c>
      <c r="G26" s="68">
        <v>11034</v>
      </c>
      <c r="H26" s="68">
        <v>64404</v>
      </c>
      <c r="I26" s="68">
        <v>81899</v>
      </c>
      <c r="J26" s="68">
        <v>61907</v>
      </c>
      <c r="K26" s="68">
        <v>88911</v>
      </c>
      <c r="L26" s="68">
        <v>30700</v>
      </c>
      <c r="M26" s="68">
        <v>11204</v>
      </c>
      <c r="N26" s="92">
        <f>SUM(_9.INDEX_EQUIVX[[#This Row],[Janvier]:[Décembre]])</f>
        <v>591232</v>
      </c>
    </row>
    <row r="27" spans="1:14">
      <c r="A27" s="5" t="s">
        <v>365</v>
      </c>
      <c r="B27" s="68">
        <v>98547</v>
      </c>
      <c r="C27" s="68">
        <v>39865</v>
      </c>
      <c r="D27" s="68">
        <v>19902</v>
      </c>
      <c r="E27" s="68">
        <v>42227</v>
      </c>
      <c r="F27" s="68">
        <v>25876</v>
      </c>
      <c r="G27" s="68">
        <v>60295</v>
      </c>
      <c r="H27" s="68">
        <v>47864</v>
      </c>
      <c r="I27" s="68">
        <v>86169</v>
      </c>
      <c r="J27" s="68">
        <v>43049</v>
      </c>
      <c r="K27" s="68">
        <v>53129</v>
      </c>
      <c r="L27" s="68">
        <v>36518</v>
      </c>
      <c r="M27" s="68">
        <v>52159</v>
      </c>
      <c r="N27" s="92">
        <f>SUM(_9.INDEX_EQUIVX[[#This Row],[Janvier]:[Décembre]])</f>
        <v>605600</v>
      </c>
    </row>
    <row r="28" spans="1:14">
      <c r="A28" s="5" t="s">
        <v>366</v>
      </c>
      <c r="B28" s="68">
        <v>44525</v>
      </c>
      <c r="C28" s="68">
        <v>43032</v>
      </c>
      <c r="D28" s="68">
        <v>47290</v>
      </c>
      <c r="E28" s="68">
        <v>25835</v>
      </c>
      <c r="F28" s="68">
        <v>12997</v>
      </c>
      <c r="G28" s="68">
        <v>37870</v>
      </c>
      <c r="H28" s="68">
        <v>80142</v>
      </c>
      <c r="I28" s="68">
        <v>62405</v>
      </c>
      <c r="J28" s="68">
        <v>23233</v>
      </c>
      <c r="K28" s="68">
        <v>22653</v>
      </c>
      <c r="L28" s="68">
        <v>41316</v>
      </c>
      <c r="M28" s="68">
        <v>93476</v>
      </c>
      <c r="N28" s="92">
        <f>SUM(_9.INDEX_EQUIVX[[#This Row],[Janvier]:[Décembre]])</f>
        <v>534774</v>
      </c>
    </row>
    <row r="29" spans="1:14">
      <c r="A29" s="5" t="s">
        <v>369</v>
      </c>
      <c r="B29" s="68">
        <v>90489</v>
      </c>
      <c r="C29" s="68">
        <v>26499</v>
      </c>
      <c r="D29" s="68">
        <v>87588</v>
      </c>
      <c r="E29" s="68">
        <v>40471</v>
      </c>
      <c r="F29" s="68">
        <v>95949</v>
      </c>
      <c r="G29" s="68">
        <v>77004</v>
      </c>
      <c r="H29" s="68">
        <v>14864</v>
      </c>
      <c r="I29" s="68">
        <v>12450</v>
      </c>
      <c r="J29" s="68">
        <v>43700</v>
      </c>
      <c r="K29" s="68">
        <v>33680</v>
      </c>
      <c r="L29" s="68">
        <v>32137</v>
      </c>
      <c r="M29" s="68">
        <v>97475</v>
      </c>
      <c r="N29" s="92">
        <f>SUM(_9.INDEX_EQUIVX[[#This Row],[Janvier]:[Décembre]])</f>
        <v>652306</v>
      </c>
    </row>
    <row r="30" spans="1:14">
      <c r="A30" s="5" t="s">
        <v>367</v>
      </c>
      <c r="B30" s="68">
        <v>22860</v>
      </c>
      <c r="C30" s="68">
        <v>76223</v>
      </c>
      <c r="D30" s="68">
        <v>97400</v>
      </c>
      <c r="E30" s="68">
        <v>22147</v>
      </c>
      <c r="F30" s="68">
        <v>60032</v>
      </c>
      <c r="G30" s="68">
        <v>47549</v>
      </c>
      <c r="H30" s="68">
        <v>38248</v>
      </c>
      <c r="I30" s="68">
        <v>43110</v>
      </c>
      <c r="J30" s="68">
        <v>96529</v>
      </c>
      <c r="K30" s="68">
        <v>41661</v>
      </c>
      <c r="L30" s="68">
        <v>79233</v>
      </c>
      <c r="M30" s="68">
        <v>37742</v>
      </c>
      <c r="N30" s="92">
        <f>SUM(_9.INDEX_EQUIVX[[#This Row],[Janvier]:[Décembre]])</f>
        <v>662734</v>
      </c>
    </row>
    <row r="31" spans="1:14">
      <c r="A31" s="5" t="s">
        <v>368</v>
      </c>
      <c r="B31" s="68">
        <v>73593</v>
      </c>
      <c r="C31" s="68">
        <v>24873</v>
      </c>
      <c r="D31" s="68">
        <v>23609</v>
      </c>
      <c r="E31" s="68">
        <v>57765</v>
      </c>
      <c r="F31" s="68">
        <v>51762</v>
      </c>
      <c r="G31" s="68">
        <v>14930</v>
      </c>
      <c r="H31" s="68">
        <v>22300</v>
      </c>
      <c r="I31" s="68">
        <v>41443</v>
      </c>
      <c r="J31" s="68">
        <v>93064</v>
      </c>
      <c r="K31" s="68">
        <v>69853</v>
      </c>
      <c r="L31" s="68">
        <v>29169</v>
      </c>
      <c r="M31" s="68">
        <v>63961</v>
      </c>
      <c r="N31" s="92">
        <f>SUM(_9.INDEX_EQUIVX[[#This Row],[Janvier]:[Décembre]])</f>
        <v>566322</v>
      </c>
    </row>
    <row r="32" spans="1:14">
      <c r="A32" s="5" t="s">
        <v>347</v>
      </c>
      <c r="B32" s="68">
        <v>94607</v>
      </c>
      <c r="C32" s="68">
        <v>48479</v>
      </c>
      <c r="D32" s="68">
        <v>62250</v>
      </c>
      <c r="E32" s="68">
        <v>86799</v>
      </c>
      <c r="F32" s="68">
        <v>85296</v>
      </c>
      <c r="G32" s="68">
        <v>34539</v>
      </c>
      <c r="H32" s="68">
        <v>89667</v>
      </c>
      <c r="I32" s="68">
        <v>69445</v>
      </c>
      <c r="J32" s="68">
        <v>32358</v>
      </c>
      <c r="K32" s="68">
        <v>32925</v>
      </c>
      <c r="L32" s="68">
        <v>77992</v>
      </c>
      <c r="M32" s="68">
        <v>81320</v>
      </c>
      <c r="N32" s="92">
        <f>SUM(_9.INDEX_EQUIVX[[#This Row],[Janvier]:[Décembre]])</f>
        <v>795677</v>
      </c>
    </row>
  </sheetData>
  <mergeCells count="6">
    <mergeCell ref="C6:D6"/>
    <mergeCell ref="C7:D7"/>
    <mergeCell ref="G7:H7"/>
    <mergeCell ref="G6:H6"/>
    <mergeCell ref="E7:F7"/>
    <mergeCell ref="E6:F6"/>
  </mergeCells>
  <dataValidations count="2">
    <dataValidation type="list" allowBlank="1" showInputMessage="1" showErrorMessage="1" sqref="A7" xr:uid="{7A7B1D3B-8C92-2047-97E8-20E0D0681875}">
      <formula1>$A$10:$A$32</formula1>
    </dataValidation>
    <dataValidation type="list" allowBlank="1" showInputMessage="1" showErrorMessage="1" sqref="B7" xr:uid="{B83B61C0-918D-874B-84DA-DD930740837C}">
      <formula1>$B$9:$N$9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E5F56-42BE-B248-9EB7-57AC703676E7}">
  <sheetPr>
    <tabColor theme="8" tint="0.79998168889431442"/>
  </sheetPr>
  <dimension ref="A1:L107"/>
  <sheetViews>
    <sheetView showGridLines="0" zoomScaleNormal="100" workbookViewId="0">
      <selection activeCell="D8" sqref="D8"/>
    </sheetView>
  </sheetViews>
  <sheetFormatPr baseColWidth="10" defaultColWidth="10.77734375" defaultRowHeight="14.4"/>
  <cols>
    <col min="1" max="1" width="12.77734375" style="56" customWidth="1"/>
    <col min="2" max="2" width="20.77734375" style="56" customWidth="1"/>
    <col min="3" max="3" width="18.77734375" style="56" customWidth="1"/>
    <col min="4" max="6" width="17.77734375" style="56" customWidth="1"/>
    <col min="7" max="7" width="5.77734375" style="56" customWidth="1"/>
    <col min="8" max="8" width="17.77734375" style="56" customWidth="1"/>
    <col min="9" max="12" width="15.77734375" style="56" customWidth="1"/>
    <col min="13" max="16384" width="10.77734375" style="56"/>
  </cols>
  <sheetData>
    <row r="1" spans="1:12">
      <c r="A1" s="29" t="s">
        <v>132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</row>
    <row r="2" spans="1:12">
      <c r="A2" s="31" t="s">
        <v>1115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</row>
    <row r="3" spans="1:12">
      <c r="A3" s="42" t="s">
        <v>1116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</row>
    <row r="4" spans="1:12">
      <c r="A4" s="42" t="s">
        <v>1114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</row>
    <row r="6" spans="1:12" ht="16.05" customHeight="1">
      <c r="H6" s="122" t="s">
        <v>1109</v>
      </c>
      <c r="I6" s="122"/>
      <c r="J6" s="122"/>
      <c r="K6" s="122"/>
      <c r="L6" s="122"/>
    </row>
    <row r="7" spans="1:12" ht="28.8">
      <c r="A7" s="5" t="s">
        <v>1007</v>
      </c>
      <c r="B7" s="5" t="s">
        <v>1006</v>
      </c>
      <c r="C7" s="5" t="s">
        <v>1108</v>
      </c>
      <c r="D7" s="5" t="s">
        <v>1110</v>
      </c>
      <c r="E7" s="93" t="s">
        <v>1111</v>
      </c>
      <c r="F7" s="93" t="s">
        <v>1113</v>
      </c>
      <c r="H7" s="5" t="s">
        <v>1112</v>
      </c>
      <c r="I7" s="5" t="s">
        <v>393</v>
      </c>
      <c r="J7" s="5" t="s">
        <v>396</v>
      </c>
      <c r="K7" s="5" t="s">
        <v>394</v>
      </c>
      <c r="L7" s="5" t="s">
        <v>1005</v>
      </c>
    </row>
    <row r="8" spans="1:12">
      <c r="A8" s="5" t="s">
        <v>1008</v>
      </c>
      <c r="B8" s="56">
        <v>64</v>
      </c>
      <c r="C8" s="5" t="s">
        <v>393</v>
      </c>
      <c r="D8" s="94"/>
      <c r="E8" s="68" cm="1">
        <f t="array" ref="E8">INDEX(_10.2.INDEX_EQUIVX[],_xlfn.XMATCH(_10.1.INDEX_EQUIVX[[#This Row],[Poids colis (en kg)]],_10.2.INDEX_EQUIVX[Poids colis
jusqu''à ... kg],1),_xlfn.XMATCH(_10.1.INDEX_EQUIVX[[#This Row],[Pays de livraison]],_10.2.INDEX_EQUIVX[#Headers]))</f>
        <v>70</v>
      </c>
      <c r="F8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  <c r="H8" s="10">
        <v>2</v>
      </c>
      <c r="I8" s="60">
        <v>5</v>
      </c>
      <c r="J8" s="60">
        <v>2</v>
      </c>
      <c r="K8" s="60">
        <v>3</v>
      </c>
      <c r="L8" s="60">
        <v>8</v>
      </c>
    </row>
    <row r="9" spans="1:12">
      <c r="A9" s="5" t="s">
        <v>1009</v>
      </c>
      <c r="B9" s="56">
        <v>95</v>
      </c>
      <c r="C9" s="5" t="s">
        <v>396</v>
      </c>
      <c r="D9" s="94"/>
      <c r="E9" s="68" cm="1">
        <f t="array" ref="E9">INDEX(_10.2.INDEX_EQUIVX[],_xlfn.XMATCH(_10.1.INDEX_EQUIVX[[#This Row],[Poids colis (en kg)]],_10.2.INDEX_EQUIVX[Poids colis
jusqu''à ... kg],1),_xlfn.XMATCH(_10.1.INDEX_EQUIVX[[#This Row],[Pays de livraison]],_10.2.INDEX_EQUIVX[#Headers]))</f>
        <v>68</v>
      </c>
      <c r="F9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  <c r="H9" s="10">
        <v>5</v>
      </c>
      <c r="I9" s="60">
        <v>10</v>
      </c>
      <c r="J9" s="60">
        <v>7</v>
      </c>
      <c r="K9" s="60">
        <v>11</v>
      </c>
      <c r="L9" s="60">
        <v>12</v>
      </c>
    </row>
    <row r="10" spans="1:12">
      <c r="A10" s="5" t="s">
        <v>1010</v>
      </c>
      <c r="B10" s="56">
        <v>23</v>
      </c>
      <c r="C10" s="5" t="s">
        <v>1005</v>
      </c>
      <c r="D10" s="94"/>
      <c r="E10" s="68" cm="1">
        <f t="array" ref="E10">INDEX(_10.2.INDEX_EQUIVX[],_xlfn.XMATCH(_10.1.INDEX_EQUIVX[[#This Row],[Poids colis (en kg)]],_10.2.INDEX_EQUIVX[Poids colis
jusqu''à ... kg],1),_xlfn.XMATCH(_10.1.INDEX_EQUIVX[[#This Row],[Pays de livraison]],_10.2.INDEX_EQUIVX[#Headers]))</f>
        <v>35</v>
      </c>
      <c r="F10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  <c r="H10" s="10">
        <v>10</v>
      </c>
      <c r="I10" s="60">
        <v>20</v>
      </c>
      <c r="J10" s="60">
        <v>25</v>
      </c>
      <c r="K10" s="60">
        <v>17</v>
      </c>
      <c r="L10" s="60">
        <v>22</v>
      </c>
    </row>
    <row r="11" spans="1:12">
      <c r="A11" s="5" t="s">
        <v>1011</v>
      </c>
      <c r="B11" s="56">
        <v>54</v>
      </c>
      <c r="C11" s="5" t="s">
        <v>394</v>
      </c>
      <c r="D11" s="94"/>
      <c r="E11" s="68" cm="1">
        <f t="array" ref="E11">INDEX(_10.2.INDEX_EQUIVX[],_xlfn.XMATCH(_10.1.INDEX_EQUIVX[[#This Row],[Poids colis (en kg)]],_10.2.INDEX_EQUIVX[Poids colis
jusqu''à ... kg],1),_xlfn.XMATCH(_10.1.INDEX_EQUIVX[[#This Row],[Pays de livraison]],_10.2.INDEX_EQUIVX[#Headers]))</f>
        <v>80</v>
      </c>
      <c r="F11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  <c r="H11" s="10">
        <v>25</v>
      </c>
      <c r="I11" s="60">
        <v>30</v>
      </c>
      <c r="J11" s="60">
        <v>33</v>
      </c>
      <c r="K11" s="60">
        <v>28</v>
      </c>
      <c r="L11" s="60">
        <v>35</v>
      </c>
    </row>
    <row r="12" spans="1:12">
      <c r="A12" s="5" t="s">
        <v>1012</v>
      </c>
      <c r="B12" s="56">
        <v>96</v>
      </c>
      <c r="C12" s="5" t="s">
        <v>393</v>
      </c>
      <c r="D12" s="94"/>
      <c r="E12" s="68" cm="1">
        <f t="array" ref="E12">INDEX(_10.2.INDEX_EQUIVX[],_xlfn.XMATCH(_10.1.INDEX_EQUIVX[[#This Row],[Poids colis (en kg)]],_10.2.INDEX_EQUIVX[Poids colis
jusqu''à ... kg],1),_xlfn.XMATCH(_10.1.INDEX_EQUIVX[[#This Row],[Pays de livraison]],_10.2.INDEX_EQUIVX[#Headers]))</f>
        <v>70</v>
      </c>
      <c r="F12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  <c r="H12" s="10">
        <v>50</v>
      </c>
      <c r="I12" s="60">
        <v>45</v>
      </c>
      <c r="J12" s="60">
        <v>40</v>
      </c>
      <c r="K12" s="60">
        <v>38</v>
      </c>
      <c r="L12" s="60">
        <v>49</v>
      </c>
    </row>
    <row r="13" spans="1:12">
      <c r="A13" s="5" t="s">
        <v>1013</v>
      </c>
      <c r="B13" s="56">
        <v>30</v>
      </c>
      <c r="C13" s="5" t="s">
        <v>1005</v>
      </c>
      <c r="D13" s="94"/>
      <c r="E13" s="68" cm="1">
        <f t="array" ref="E13">INDEX(_10.2.INDEX_EQUIVX[],_xlfn.XMATCH(_10.1.INDEX_EQUIVX[[#This Row],[Poids colis (en kg)]],_10.2.INDEX_EQUIVX[Poids colis
jusqu''à ... kg],1),_xlfn.XMATCH(_10.1.INDEX_EQUIVX[[#This Row],[Pays de livraison]],_10.2.INDEX_EQUIVX[#Headers]))</f>
        <v>49</v>
      </c>
      <c r="F13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  <c r="H13" s="10">
        <v>100</v>
      </c>
      <c r="I13" s="60">
        <v>70</v>
      </c>
      <c r="J13" s="60">
        <v>68</v>
      </c>
      <c r="K13" s="60">
        <v>80</v>
      </c>
      <c r="L13" s="60">
        <v>75</v>
      </c>
    </row>
    <row r="14" spans="1:12">
      <c r="A14" s="5" t="s">
        <v>1014</v>
      </c>
      <c r="B14" s="56">
        <v>31</v>
      </c>
      <c r="C14" s="5" t="s">
        <v>1005</v>
      </c>
      <c r="D14" s="94"/>
      <c r="E14" s="68" cm="1">
        <f t="array" ref="E14">INDEX(_10.2.INDEX_EQUIVX[],_xlfn.XMATCH(_10.1.INDEX_EQUIVX[[#This Row],[Poids colis (en kg)]],_10.2.INDEX_EQUIVX[Poids colis
jusqu''à ... kg],1),_xlfn.XMATCH(_10.1.INDEX_EQUIVX[[#This Row],[Pays de livraison]],_10.2.INDEX_EQUIVX[#Headers]))</f>
        <v>49</v>
      </c>
      <c r="F14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  <c r="H14" s="10"/>
      <c r="I14"/>
      <c r="J14"/>
      <c r="K14"/>
      <c r="L14"/>
    </row>
    <row r="15" spans="1:12">
      <c r="A15" s="5" t="s">
        <v>1015</v>
      </c>
      <c r="B15" s="56">
        <v>29</v>
      </c>
      <c r="C15" s="5" t="s">
        <v>394</v>
      </c>
      <c r="D15" s="94"/>
      <c r="E15" s="68" cm="1">
        <f t="array" ref="E15">INDEX(_10.2.INDEX_EQUIVX[],_xlfn.XMATCH(_10.1.INDEX_EQUIVX[[#This Row],[Poids colis (en kg)]],_10.2.INDEX_EQUIVX[Poids colis
jusqu''à ... kg],1),_xlfn.XMATCH(_10.1.INDEX_EQUIVX[[#This Row],[Pays de livraison]],_10.2.INDEX_EQUIVX[#Headers]))</f>
        <v>38</v>
      </c>
      <c r="F15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  <c r="H15" s="10"/>
      <c r="I15"/>
      <c r="J15"/>
      <c r="K15"/>
      <c r="L15"/>
    </row>
    <row r="16" spans="1:12">
      <c r="A16" s="5" t="s">
        <v>1016</v>
      </c>
      <c r="B16" s="56">
        <v>26</v>
      </c>
      <c r="C16" s="5" t="s">
        <v>394</v>
      </c>
      <c r="D16" s="94"/>
      <c r="E16" s="68" cm="1">
        <f t="array" ref="E16">INDEX(_10.2.INDEX_EQUIVX[],_xlfn.XMATCH(_10.1.INDEX_EQUIVX[[#This Row],[Poids colis (en kg)]],_10.2.INDEX_EQUIVX[Poids colis
jusqu''à ... kg],1),_xlfn.XMATCH(_10.1.INDEX_EQUIVX[[#This Row],[Pays de livraison]],_10.2.INDEX_EQUIVX[#Headers]))</f>
        <v>38</v>
      </c>
      <c r="F16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17" spans="1:9">
      <c r="A17" s="5" t="s">
        <v>1017</v>
      </c>
      <c r="B17" s="56">
        <v>7</v>
      </c>
      <c r="C17" s="5" t="s">
        <v>393</v>
      </c>
      <c r="D17" s="94"/>
      <c r="E17" s="68" cm="1">
        <f t="array" ref="E17">INDEX(_10.2.INDEX_EQUIVX[],_xlfn.XMATCH(_10.1.INDEX_EQUIVX[[#This Row],[Poids colis (en kg)]],_10.2.INDEX_EQUIVX[Poids colis
jusqu''à ... kg],1),_xlfn.XMATCH(_10.1.INDEX_EQUIVX[[#This Row],[Pays de livraison]],_10.2.INDEX_EQUIVX[#Headers]))</f>
        <v>20</v>
      </c>
      <c r="F17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  <c r="H17"/>
      <c r="I17"/>
    </row>
    <row r="18" spans="1:9">
      <c r="A18" s="5" t="s">
        <v>1018</v>
      </c>
      <c r="B18" s="56">
        <v>8</v>
      </c>
      <c r="C18" s="5" t="s">
        <v>396</v>
      </c>
      <c r="D18" s="94"/>
      <c r="E18" s="68" cm="1">
        <f t="array" ref="E18">INDEX(_10.2.INDEX_EQUIVX[],_xlfn.XMATCH(_10.1.INDEX_EQUIVX[[#This Row],[Poids colis (en kg)]],_10.2.INDEX_EQUIVX[Poids colis
jusqu''à ... kg],1),_xlfn.XMATCH(_10.1.INDEX_EQUIVX[[#This Row],[Pays de livraison]],_10.2.INDEX_EQUIVX[#Headers]))</f>
        <v>25</v>
      </c>
      <c r="F18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  <c r="H18"/>
      <c r="I18"/>
    </row>
    <row r="19" spans="1:9">
      <c r="A19" s="5" t="s">
        <v>1019</v>
      </c>
      <c r="B19" s="56">
        <v>96</v>
      </c>
      <c r="C19" s="5" t="s">
        <v>393</v>
      </c>
      <c r="D19" s="94"/>
      <c r="E19" s="68" cm="1">
        <f t="array" ref="E19">INDEX(_10.2.INDEX_EQUIVX[],_xlfn.XMATCH(_10.1.INDEX_EQUIVX[[#This Row],[Poids colis (en kg)]],_10.2.INDEX_EQUIVX[Poids colis
jusqu''à ... kg],1),_xlfn.XMATCH(_10.1.INDEX_EQUIVX[[#This Row],[Pays de livraison]],_10.2.INDEX_EQUIVX[#Headers]))</f>
        <v>70</v>
      </c>
      <c r="F19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  <c r="H19"/>
      <c r="I19"/>
    </row>
    <row r="20" spans="1:9">
      <c r="A20" s="5" t="s">
        <v>1020</v>
      </c>
      <c r="B20" s="56">
        <v>10</v>
      </c>
      <c r="C20" s="5" t="s">
        <v>394</v>
      </c>
      <c r="D20" s="94"/>
      <c r="E20" s="68" cm="1">
        <f t="array" ref="E20">INDEX(_10.2.INDEX_EQUIVX[],_xlfn.XMATCH(_10.1.INDEX_EQUIVX[[#This Row],[Poids colis (en kg)]],_10.2.INDEX_EQUIVX[Poids colis
jusqu''à ... kg],1),_xlfn.XMATCH(_10.1.INDEX_EQUIVX[[#This Row],[Pays de livraison]],_10.2.INDEX_EQUIVX[#Headers]))</f>
        <v>17</v>
      </c>
      <c r="F20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  <c r="H20"/>
      <c r="I20"/>
    </row>
    <row r="21" spans="1:9">
      <c r="A21" s="5" t="s">
        <v>1021</v>
      </c>
      <c r="B21" s="56">
        <v>40</v>
      </c>
      <c r="C21" s="5" t="s">
        <v>394</v>
      </c>
      <c r="D21" s="94"/>
      <c r="E21" s="68" cm="1">
        <f t="array" ref="E21">INDEX(_10.2.INDEX_EQUIVX[],_xlfn.XMATCH(_10.1.INDEX_EQUIVX[[#This Row],[Poids colis (en kg)]],_10.2.INDEX_EQUIVX[Poids colis
jusqu''à ... kg],1),_xlfn.XMATCH(_10.1.INDEX_EQUIVX[[#This Row],[Pays de livraison]],_10.2.INDEX_EQUIVX[#Headers]))</f>
        <v>38</v>
      </c>
      <c r="F21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22" spans="1:9">
      <c r="A22" s="5" t="s">
        <v>1022</v>
      </c>
      <c r="B22" s="56">
        <v>63</v>
      </c>
      <c r="C22" s="5" t="s">
        <v>394</v>
      </c>
      <c r="D22" s="94"/>
      <c r="E22" s="68" cm="1">
        <f t="array" ref="E22">INDEX(_10.2.INDEX_EQUIVX[],_xlfn.XMATCH(_10.1.INDEX_EQUIVX[[#This Row],[Poids colis (en kg)]],_10.2.INDEX_EQUIVX[Poids colis
jusqu''à ... kg],1),_xlfn.XMATCH(_10.1.INDEX_EQUIVX[[#This Row],[Pays de livraison]],_10.2.INDEX_EQUIVX[#Headers]))</f>
        <v>80</v>
      </c>
      <c r="F22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23" spans="1:9">
      <c r="A23" s="5" t="s">
        <v>1023</v>
      </c>
      <c r="B23" s="56">
        <v>9</v>
      </c>
      <c r="C23" s="5" t="s">
        <v>394</v>
      </c>
      <c r="D23" s="94"/>
      <c r="E23" s="68" cm="1">
        <f t="array" ref="E23">INDEX(_10.2.INDEX_EQUIVX[],_xlfn.XMATCH(_10.1.INDEX_EQUIVX[[#This Row],[Poids colis (en kg)]],_10.2.INDEX_EQUIVX[Poids colis
jusqu''à ... kg],1),_xlfn.XMATCH(_10.1.INDEX_EQUIVX[[#This Row],[Pays de livraison]],_10.2.INDEX_EQUIVX[#Headers]))</f>
        <v>17</v>
      </c>
      <c r="F23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24" spans="1:9">
      <c r="A24" s="5" t="s">
        <v>1024</v>
      </c>
      <c r="B24" s="56">
        <v>6</v>
      </c>
      <c r="C24" s="5" t="s">
        <v>396</v>
      </c>
      <c r="D24" s="94"/>
      <c r="E24" s="68" cm="1">
        <f t="array" ref="E24">INDEX(_10.2.INDEX_EQUIVX[],_xlfn.XMATCH(_10.1.INDEX_EQUIVX[[#This Row],[Poids colis (en kg)]],_10.2.INDEX_EQUIVX[Poids colis
jusqu''à ... kg],1),_xlfn.XMATCH(_10.1.INDEX_EQUIVX[[#This Row],[Pays de livraison]],_10.2.INDEX_EQUIVX[#Headers]))</f>
        <v>25</v>
      </c>
      <c r="F24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25" spans="1:9">
      <c r="A25" s="5" t="s">
        <v>1025</v>
      </c>
      <c r="B25" s="56">
        <v>70</v>
      </c>
      <c r="C25" s="5" t="s">
        <v>394</v>
      </c>
      <c r="D25" s="94"/>
      <c r="E25" s="68" cm="1">
        <f t="array" ref="E25">INDEX(_10.2.INDEX_EQUIVX[],_xlfn.XMATCH(_10.1.INDEX_EQUIVX[[#This Row],[Poids colis (en kg)]],_10.2.INDEX_EQUIVX[Poids colis
jusqu''à ... kg],1),_xlfn.XMATCH(_10.1.INDEX_EQUIVX[[#This Row],[Pays de livraison]],_10.2.INDEX_EQUIVX[#Headers]))</f>
        <v>80</v>
      </c>
      <c r="F25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26" spans="1:9">
      <c r="A26" s="5" t="s">
        <v>1026</v>
      </c>
      <c r="B26" s="56">
        <v>36</v>
      </c>
      <c r="C26" s="5" t="s">
        <v>396</v>
      </c>
      <c r="D26" s="94"/>
      <c r="E26" s="68" cm="1">
        <f t="array" ref="E26">INDEX(_10.2.INDEX_EQUIVX[],_xlfn.XMATCH(_10.1.INDEX_EQUIVX[[#This Row],[Poids colis (en kg)]],_10.2.INDEX_EQUIVX[Poids colis
jusqu''à ... kg],1),_xlfn.XMATCH(_10.1.INDEX_EQUIVX[[#This Row],[Pays de livraison]],_10.2.INDEX_EQUIVX[#Headers]))</f>
        <v>40</v>
      </c>
      <c r="F26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27" spans="1:9">
      <c r="A27" s="5" t="s">
        <v>1027</v>
      </c>
      <c r="B27" s="56">
        <v>46</v>
      </c>
      <c r="C27" s="5" t="s">
        <v>396</v>
      </c>
      <c r="D27" s="94"/>
      <c r="E27" s="68" cm="1">
        <f t="array" ref="E27">INDEX(_10.2.INDEX_EQUIVX[],_xlfn.XMATCH(_10.1.INDEX_EQUIVX[[#This Row],[Poids colis (en kg)]],_10.2.INDEX_EQUIVX[Poids colis
jusqu''à ... kg],1),_xlfn.XMATCH(_10.1.INDEX_EQUIVX[[#This Row],[Pays de livraison]],_10.2.INDEX_EQUIVX[#Headers]))</f>
        <v>40</v>
      </c>
      <c r="F27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28" spans="1:9">
      <c r="A28" s="5" t="s">
        <v>1028</v>
      </c>
      <c r="B28" s="56">
        <v>38</v>
      </c>
      <c r="C28" s="5" t="s">
        <v>394</v>
      </c>
      <c r="D28" s="94"/>
      <c r="E28" s="68" cm="1">
        <f t="array" ref="E28">INDEX(_10.2.INDEX_EQUIVX[],_xlfn.XMATCH(_10.1.INDEX_EQUIVX[[#This Row],[Poids colis (en kg)]],_10.2.INDEX_EQUIVX[Poids colis
jusqu''à ... kg],1),_xlfn.XMATCH(_10.1.INDEX_EQUIVX[[#This Row],[Pays de livraison]],_10.2.INDEX_EQUIVX[#Headers]))</f>
        <v>38</v>
      </c>
      <c r="F28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29" spans="1:9">
      <c r="A29" s="5" t="s">
        <v>1029</v>
      </c>
      <c r="B29" s="56">
        <v>32</v>
      </c>
      <c r="C29" s="5" t="s">
        <v>396</v>
      </c>
      <c r="D29" s="94"/>
      <c r="E29" s="68" cm="1">
        <f t="array" ref="E29">INDEX(_10.2.INDEX_EQUIVX[],_xlfn.XMATCH(_10.1.INDEX_EQUIVX[[#This Row],[Poids colis (en kg)]],_10.2.INDEX_EQUIVX[Poids colis
jusqu''à ... kg],1),_xlfn.XMATCH(_10.1.INDEX_EQUIVX[[#This Row],[Pays de livraison]],_10.2.INDEX_EQUIVX[#Headers]))</f>
        <v>40</v>
      </c>
      <c r="F29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30" spans="1:9">
      <c r="A30" s="5" t="s">
        <v>1030</v>
      </c>
      <c r="B30" s="56">
        <v>77</v>
      </c>
      <c r="C30" s="5" t="s">
        <v>394</v>
      </c>
      <c r="D30" s="94"/>
      <c r="E30" s="68" cm="1">
        <f t="array" ref="E30">INDEX(_10.2.INDEX_EQUIVX[],_xlfn.XMATCH(_10.1.INDEX_EQUIVX[[#This Row],[Poids colis (en kg)]],_10.2.INDEX_EQUIVX[Poids colis
jusqu''à ... kg],1),_xlfn.XMATCH(_10.1.INDEX_EQUIVX[[#This Row],[Pays de livraison]],_10.2.INDEX_EQUIVX[#Headers]))</f>
        <v>80</v>
      </c>
      <c r="F30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31" spans="1:9">
      <c r="A31" s="5" t="s">
        <v>1031</v>
      </c>
      <c r="B31" s="56">
        <v>12</v>
      </c>
      <c r="C31" s="5" t="s">
        <v>393</v>
      </c>
      <c r="D31" s="94"/>
      <c r="E31" s="68" cm="1">
        <f t="array" ref="E31">INDEX(_10.2.INDEX_EQUIVX[],_xlfn.XMATCH(_10.1.INDEX_EQUIVX[[#This Row],[Poids colis (en kg)]],_10.2.INDEX_EQUIVX[Poids colis
jusqu''à ... kg],1),_xlfn.XMATCH(_10.1.INDEX_EQUIVX[[#This Row],[Pays de livraison]],_10.2.INDEX_EQUIVX[#Headers]))</f>
        <v>30</v>
      </c>
      <c r="F31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32" spans="1:9">
      <c r="A32" s="5" t="s">
        <v>1032</v>
      </c>
      <c r="B32" s="56">
        <v>6</v>
      </c>
      <c r="C32" s="5" t="s">
        <v>394</v>
      </c>
      <c r="D32" s="94"/>
      <c r="E32" s="68" cm="1">
        <f t="array" ref="E32">INDEX(_10.2.INDEX_EQUIVX[],_xlfn.XMATCH(_10.1.INDEX_EQUIVX[[#This Row],[Poids colis (en kg)]],_10.2.INDEX_EQUIVX[Poids colis
jusqu''à ... kg],1),_xlfn.XMATCH(_10.1.INDEX_EQUIVX[[#This Row],[Pays de livraison]],_10.2.INDEX_EQUIVX[#Headers]))</f>
        <v>17</v>
      </c>
      <c r="F32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33" spans="1:6">
      <c r="A33" s="5" t="s">
        <v>1033</v>
      </c>
      <c r="B33" s="56">
        <v>14</v>
      </c>
      <c r="C33" s="5" t="s">
        <v>396</v>
      </c>
      <c r="D33" s="94"/>
      <c r="E33" s="68" cm="1">
        <f t="array" ref="E33">INDEX(_10.2.INDEX_EQUIVX[],_xlfn.XMATCH(_10.1.INDEX_EQUIVX[[#This Row],[Poids colis (en kg)]],_10.2.INDEX_EQUIVX[Poids colis
jusqu''à ... kg],1),_xlfn.XMATCH(_10.1.INDEX_EQUIVX[[#This Row],[Pays de livraison]],_10.2.INDEX_EQUIVX[#Headers]))</f>
        <v>33</v>
      </c>
      <c r="F33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34" spans="1:6">
      <c r="A34" s="5" t="s">
        <v>1034</v>
      </c>
      <c r="B34" s="56">
        <v>16</v>
      </c>
      <c r="C34" s="5" t="s">
        <v>396</v>
      </c>
      <c r="D34" s="94"/>
      <c r="E34" s="68" cm="1">
        <f t="array" ref="E34">INDEX(_10.2.INDEX_EQUIVX[],_xlfn.XMATCH(_10.1.INDEX_EQUIVX[[#This Row],[Poids colis (en kg)]],_10.2.INDEX_EQUIVX[Poids colis
jusqu''à ... kg],1),_xlfn.XMATCH(_10.1.INDEX_EQUIVX[[#This Row],[Pays de livraison]],_10.2.INDEX_EQUIVX[#Headers]))</f>
        <v>33</v>
      </c>
      <c r="F34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35" spans="1:6">
      <c r="A35" s="5" t="s">
        <v>1035</v>
      </c>
      <c r="B35" s="56">
        <v>90</v>
      </c>
      <c r="C35" s="5" t="s">
        <v>1005</v>
      </c>
      <c r="D35" s="94"/>
      <c r="E35" s="68" cm="1">
        <f t="array" ref="E35">INDEX(_10.2.INDEX_EQUIVX[],_xlfn.XMATCH(_10.1.INDEX_EQUIVX[[#This Row],[Poids colis (en kg)]],_10.2.INDEX_EQUIVX[Poids colis
jusqu''à ... kg],1),_xlfn.XMATCH(_10.1.INDEX_EQUIVX[[#This Row],[Pays de livraison]],_10.2.INDEX_EQUIVX[#Headers]))</f>
        <v>75</v>
      </c>
      <c r="F35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36" spans="1:6">
      <c r="A36" s="5" t="s">
        <v>1036</v>
      </c>
      <c r="B36" s="56">
        <v>76</v>
      </c>
      <c r="C36" s="5" t="s">
        <v>396</v>
      </c>
      <c r="D36" s="94"/>
      <c r="E36" s="68" cm="1">
        <f t="array" ref="E36">INDEX(_10.2.INDEX_EQUIVX[],_xlfn.XMATCH(_10.1.INDEX_EQUIVX[[#This Row],[Poids colis (en kg)]],_10.2.INDEX_EQUIVX[Poids colis
jusqu''à ... kg],1),_xlfn.XMATCH(_10.1.INDEX_EQUIVX[[#This Row],[Pays de livraison]],_10.2.INDEX_EQUIVX[#Headers]))</f>
        <v>68</v>
      </c>
      <c r="F36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37" spans="1:6">
      <c r="A37" s="5" t="s">
        <v>1037</v>
      </c>
      <c r="B37" s="56">
        <v>38</v>
      </c>
      <c r="C37" s="5" t="s">
        <v>396</v>
      </c>
      <c r="D37" s="94"/>
      <c r="E37" s="68" cm="1">
        <f t="array" ref="E37">INDEX(_10.2.INDEX_EQUIVX[],_xlfn.XMATCH(_10.1.INDEX_EQUIVX[[#This Row],[Poids colis (en kg)]],_10.2.INDEX_EQUIVX[Poids colis
jusqu''à ... kg],1),_xlfn.XMATCH(_10.1.INDEX_EQUIVX[[#This Row],[Pays de livraison]],_10.2.INDEX_EQUIVX[#Headers]))</f>
        <v>40</v>
      </c>
      <c r="F37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38" spans="1:6">
      <c r="A38" s="5" t="s">
        <v>1038</v>
      </c>
      <c r="B38" s="56">
        <v>38</v>
      </c>
      <c r="C38" s="5" t="s">
        <v>396</v>
      </c>
      <c r="D38" s="94"/>
      <c r="E38" s="68" cm="1">
        <f t="array" ref="E38">INDEX(_10.2.INDEX_EQUIVX[],_xlfn.XMATCH(_10.1.INDEX_EQUIVX[[#This Row],[Poids colis (en kg)]],_10.2.INDEX_EQUIVX[Poids colis
jusqu''à ... kg],1),_xlfn.XMATCH(_10.1.INDEX_EQUIVX[[#This Row],[Pays de livraison]],_10.2.INDEX_EQUIVX[#Headers]))</f>
        <v>40</v>
      </c>
      <c r="F38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39" spans="1:6">
      <c r="A39" s="5" t="s">
        <v>1039</v>
      </c>
      <c r="B39" s="56">
        <v>78</v>
      </c>
      <c r="C39" s="5" t="s">
        <v>394</v>
      </c>
      <c r="D39" s="94"/>
      <c r="E39" s="68" cm="1">
        <f t="array" ref="E39">INDEX(_10.2.INDEX_EQUIVX[],_xlfn.XMATCH(_10.1.INDEX_EQUIVX[[#This Row],[Poids colis (en kg)]],_10.2.INDEX_EQUIVX[Poids colis
jusqu''à ... kg],1),_xlfn.XMATCH(_10.1.INDEX_EQUIVX[[#This Row],[Pays de livraison]],_10.2.INDEX_EQUIVX[#Headers]))</f>
        <v>80</v>
      </c>
      <c r="F39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40" spans="1:6">
      <c r="A40" s="5" t="s">
        <v>1040</v>
      </c>
      <c r="B40" s="56">
        <v>39</v>
      </c>
      <c r="C40" s="5" t="s">
        <v>393</v>
      </c>
      <c r="D40" s="94"/>
      <c r="E40" s="68" cm="1">
        <f t="array" ref="E40">INDEX(_10.2.INDEX_EQUIVX[],_xlfn.XMATCH(_10.1.INDEX_EQUIVX[[#This Row],[Poids colis (en kg)]],_10.2.INDEX_EQUIVX[Poids colis
jusqu''à ... kg],1),_xlfn.XMATCH(_10.1.INDEX_EQUIVX[[#This Row],[Pays de livraison]],_10.2.INDEX_EQUIVX[#Headers]))</f>
        <v>45</v>
      </c>
      <c r="F40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41" spans="1:6">
      <c r="A41" s="5" t="s">
        <v>1041</v>
      </c>
      <c r="B41" s="56">
        <v>91</v>
      </c>
      <c r="C41" s="5" t="s">
        <v>1005</v>
      </c>
      <c r="D41" s="94"/>
      <c r="E41" s="68" cm="1">
        <f t="array" ref="E41">INDEX(_10.2.INDEX_EQUIVX[],_xlfn.XMATCH(_10.1.INDEX_EQUIVX[[#This Row],[Poids colis (en kg)]],_10.2.INDEX_EQUIVX[Poids colis
jusqu''à ... kg],1),_xlfn.XMATCH(_10.1.INDEX_EQUIVX[[#This Row],[Pays de livraison]],_10.2.INDEX_EQUIVX[#Headers]))</f>
        <v>75</v>
      </c>
      <c r="F41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42" spans="1:6">
      <c r="A42" s="5" t="s">
        <v>1042</v>
      </c>
      <c r="B42" s="56">
        <v>59</v>
      </c>
      <c r="C42" s="5" t="s">
        <v>394</v>
      </c>
      <c r="D42" s="94"/>
      <c r="E42" s="68" cm="1">
        <f t="array" ref="E42">INDEX(_10.2.INDEX_EQUIVX[],_xlfn.XMATCH(_10.1.INDEX_EQUIVX[[#This Row],[Poids colis (en kg)]],_10.2.INDEX_EQUIVX[Poids colis
jusqu''à ... kg],1),_xlfn.XMATCH(_10.1.INDEX_EQUIVX[[#This Row],[Pays de livraison]],_10.2.INDEX_EQUIVX[#Headers]))</f>
        <v>80</v>
      </c>
      <c r="F42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43" spans="1:6">
      <c r="A43" s="5" t="s">
        <v>1043</v>
      </c>
      <c r="B43" s="56">
        <v>7</v>
      </c>
      <c r="C43" s="5" t="s">
        <v>393</v>
      </c>
      <c r="D43" s="94"/>
      <c r="E43" s="68" cm="1">
        <f t="array" ref="E43">INDEX(_10.2.INDEX_EQUIVX[],_xlfn.XMATCH(_10.1.INDEX_EQUIVX[[#This Row],[Poids colis (en kg)]],_10.2.INDEX_EQUIVX[Poids colis
jusqu''à ... kg],1),_xlfn.XMATCH(_10.1.INDEX_EQUIVX[[#This Row],[Pays de livraison]],_10.2.INDEX_EQUIVX[#Headers]))</f>
        <v>20</v>
      </c>
      <c r="F43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44" spans="1:6">
      <c r="A44" s="5" t="s">
        <v>1044</v>
      </c>
      <c r="B44" s="56">
        <v>58</v>
      </c>
      <c r="C44" s="5" t="s">
        <v>393</v>
      </c>
      <c r="D44" s="94"/>
      <c r="E44" s="68" cm="1">
        <f t="array" ref="E44">INDEX(_10.2.INDEX_EQUIVX[],_xlfn.XMATCH(_10.1.INDEX_EQUIVX[[#This Row],[Poids colis (en kg)]],_10.2.INDEX_EQUIVX[Poids colis
jusqu''à ... kg],1),_xlfn.XMATCH(_10.1.INDEX_EQUIVX[[#This Row],[Pays de livraison]],_10.2.INDEX_EQUIVX[#Headers]))</f>
        <v>70</v>
      </c>
      <c r="F44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45" spans="1:6">
      <c r="A45" s="5" t="s">
        <v>1045</v>
      </c>
      <c r="B45" s="56">
        <v>45</v>
      </c>
      <c r="C45" s="5" t="s">
        <v>393</v>
      </c>
      <c r="D45" s="94"/>
      <c r="E45" s="68" cm="1">
        <f t="array" ref="E45">INDEX(_10.2.INDEX_EQUIVX[],_xlfn.XMATCH(_10.1.INDEX_EQUIVX[[#This Row],[Poids colis (en kg)]],_10.2.INDEX_EQUIVX[Poids colis
jusqu''à ... kg],1),_xlfn.XMATCH(_10.1.INDEX_EQUIVX[[#This Row],[Pays de livraison]],_10.2.INDEX_EQUIVX[#Headers]))</f>
        <v>45</v>
      </c>
      <c r="F45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46" spans="1:6">
      <c r="A46" s="5" t="s">
        <v>1046</v>
      </c>
      <c r="B46" s="56">
        <v>32</v>
      </c>
      <c r="C46" s="5" t="s">
        <v>394</v>
      </c>
      <c r="D46" s="94"/>
      <c r="E46" s="68" cm="1">
        <f t="array" ref="E46">INDEX(_10.2.INDEX_EQUIVX[],_xlfn.XMATCH(_10.1.INDEX_EQUIVX[[#This Row],[Poids colis (en kg)]],_10.2.INDEX_EQUIVX[Poids colis
jusqu''à ... kg],1),_xlfn.XMATCH(_10.1.INDEX_EQUIVX[[#This Row],[Pays de livraison]],_10.2.INDEX_EQUIVX[#Headers]))</f>
        <v>38</v>
      </c>
      <c r="F46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47" spans="1:6">
      <c r="A47" s="5" t="s">
        <v>1047</v>
      </c>
      <c r="B47" s="56">
        <v>54</v>
      </c>
      <c r="C47" s="5" t="s">
        <v>1005</v>
      </c>
      <c r="D47" s="94"/>
      <c r="E47" s="68" cm="1">
        <f t="array" ref="E47">INDEX(_10.2.INDEX_EQUIVX[],_xlfn.XMATCH(_10.1.INDEX_EQUIVX[[#This Row],[Poids colis (en kg)]],_10.2.INDEX_EQUIVX[Poids colis
jusqu''à ... kg],1),_xlfn.XMATCH(_10.1.INDEX_EQUIVX[[#This Row],[Pays de livraison]],_10.2.INDEX_EQUIVX[#Headers]))</f>
        <v>75</v>
      </c>
      <c r="F47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48" spans="1:6">
      <c r="A48" s="5" t="s">
        <v>1048</v>
      </c>
      <c r="B48" s="56">
        <v>13</v>
      </c>
      <c r="C48" s="5" t="s">
        <v>394</v>
      </c>
      <c r="D48" s="94"/>
      <c r="E48" s="68" cm="1">
        <f t="array" ref="E48">INDEX(_10.2.INDEX_EQUIVX[],_xlfn.XMATCH(_10.1.INDEX_EQUIVX[[#This Row],[Poids colis (en kg)]],_10.2.INDEX_EQUIVX[Poids colis
jusqu''à ... kg],1),_xlfn.XMATCH(_10.1.INDEX_EQUIVX[[#This Row],[Pays de livraison]],_10.2.INDEX_EQUIVX[#Headers]))</f>
        <v>28</v>
      </c>
      <c r="F48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49" spans="1:6">
      <c r="A49" s="5" t="s">
        <v>1049</v>
      </c>
      <c r="B49" s="56">
        <v>17</v>
      </c>
      <c r="C49" s="5" t="s">
        <v>393</v>
      </c>
      <c r="D49" s="94"/>
      <c r="E49" s="68" cm="1">
        <f t="array" ref="E49">INDEX(_10.2.INDEX_EQUIVX[],_xlfn.XMATCH(_10.1.INDEX_EQUIVX[[#This Row],[Poids colis (en kg)]],_10.2.INDEX_EQUIVX[Poids colis
jusqu''à ... kg],1),_xlfn.XMATCH(_10.1.INDEX_EQUIVX[[#This Row],[Pays de livraison]],_10.2.INDEX_EQUIVX[#Headers]))</f>
        <v>30</v>
      </c>
      <c r="F49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50" spans="1:6">
      <c r="A50" s="5" t="s">
        <v>1050</v>
      </c>
      <c r="B50" s="56">
        <v>66</v>
      </c>
      <c r="C50" s="5" t="s">
        <v>1005</v>
      </c>
      <c r="D50" s="94"/>
      <c r="E50" s="68" cm="1">
        <f t="array" ref="E50">INDEX(_10.2.INDEX_EQUIVX[],_xlfn.XMATCH(_10.1.INDEX_EQUIVX[[#This Row],[Poids colis (en kg)]],_10.2.INDEX_EQUIVX[Poids colis
jusqu''à ... kg],1),_xlfn.XMATCH(_10.1.INDEX_EQUIVX[[#This Row],[Pays de livraison]],_10.2.INDEX_EQUIVX[#Headers]))</f>
        <v>75</v>
      </c>
      <c r="F50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51" spans="1:6">
      <c r="A51" s="5" t="s">
        <v>1051</v>
      </c>
      <c r="B51" s="56">
        <v>45</v>
      </c>
      <c r="C51" s="5" t="s">
        <v>394</v>
      </c>
      <c r="D51" s="94"/>
      <c r="E51" s="68" cm="1">
        <f t="array" ref="E51">INDEX(_10.2.INDEX_EQUIVX[],_xlfn.XMATCH(_10.1.INDEX_EQUIVX[[#This Row],[Poids colis (en kg)]],_10.2.INDEX_EQUIVX[Poids colis
jusqu''à ... kg],1),_xlfn.XMATCH(_10.1.INDEX_EQUIVX[[#This Row],[Pays de livraison]],_10.2.INDEX_EQUIVX[#Headers]))</f>
        <v>38</v>
      </c>
      <c r="F51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52" spans="1:6">
      <c r="A52" s="5" t="s">
        <v>1052</v>
      </c>
      <c r="B52" s="56">
        <v>95</v>
      </c>
      <c r="C52" s="5" t="s">
        <v>396</v>
      </c>
      <c r="D52" s="94"/>
      <c r="E52" s="68" cm="1">
        <f t="array" ref="E52">INDEX(_10.2.INDEX_EQUIVX[],_xlfn.XMATCH(_10.1.INDEX_EQUIVX[[#This Row],[Poids colis (en kg)]],_10.2.INDEX_EQUIVX[Poids colis
jusqu''à ... kg],1),_xlfn.XMATCH(_10.1.INDEX_EQUIVX[[#This Row],[Pays de livraison]],_10.2.INDEX_EQUIVX[#Headers]))</f>
        <v>68</v>
      </c>
      <c r="F52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53" spans="1:6">
      <c r="A53" s="5" t="s">
        <v>1053</v>
      </c>
      <c r="B53" s="56">
        <v>87</v>
      </c>
      <c r="C53" s="5" t="s">
        <v>394</v>
      </c>
      <c r="D53" s="94"/>
      <c r="E53" s="68" cm="1">
        <f t="array" ref="E53">INDEX(_10.2.INDEX_EQUIVX[],_xlfn.XMATCH(_10.1.INDEX_EQUIVX[[#This Row],[Poids colis (en kg)]],_10.2.INDEX_EQUIVX[Poids colis
jusqu''à ... kg],1),_xlfn.XMATCH(_10.1.INDEX_EQUIVX[[#This Row],[Pays de livraison]],_10.2.INDEX_EQUIVX[#Headers]))</f>
        <v>80</v>
      </c>
      <c r="F53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54" spans="1:6">
      <c r="A54" s="5" t="s">
        <v>1054</v>
      </c>
      <c r="B54" s="56">
        <v>74</v>
      </c>
      <c r="C54" s="5" t="s">
        <v>394</v>
      </c>
      <c r="D54" s="94"/>
      <c r="E54" s="68" cm="1">
        <f t="array" ref="E54">INDEX(_10.2.INDEX_EQUIVX[],_xlfn.XMATCH(_10.1.INDEX_EQUIVX[[#This Row],[Poids colis (en kg)]],_10.2.INDEX_EQUIVX[Poids colis
jusqu''à ... kg],1),_xlfn.XMATCH(_10.1.INDEX_EQUIVX[[#This Row],[Pays de livraison]],_10.2.INDEX_EQUIVX[#Headers]))</f>
        <v>80</v>
      </c>
      <c r="F54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55" spans="1:6">
      <c r="A55" s="5" t="s">
        <v>1055</v>
      </c>
      <c r="B55" s="56">
        <v>67</v>
      </c>
      <c r="C55" s="5" t="s">
        <v>394</v>
      </c>
      <c r="D55" s="94"/>
      <c r="E55" s="68" cm="1">
        <f t="array" ref="E55">INDEX(_10.2.INDEX_EQUIVX[],_xlfn.XMATCH(_10.1.INDEX_EQUIVX[[#This Row],[Poids colis (en kg)]],_10.2.INDEX_EQUIVX[Poids colis
jusqu''à ... kg],1),_xlfn.XMATCH(_10.1.INDEX_EQUIVX[[#This Row],[Pays de livraison]],_10.2.INDEX_EQUIVX[#Headers]))</f>
        <v>80</v>
      </c>
      <c r="F55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56" spans="1:6">
      <c r="A56" s="5" t="s">
        <v>1056</v>
      </c>
      <c r="B56" s="56">
        <v>4</v>
      </c>
      <c r="C56" s="5" t="s">
        <v>393</v>
      </c>
      <c r="D56" s="94"/>
      <c r="E56" s="68" cm="1">
        <f t="array" ref="E56">INDEX(_10.2.INDEX_EQUIVX[],_xlfn.XMATCH(_10.1.INDEX_EQUIVX[[#This Row],[Poids colis (en kg)]],_10.2.INDEX_EQUIVX[Poids colis
jusqu''à ... kg],1),_xlfn.XMATCH(_10.1.INDEX_EQUIVX[[#This Row],[Pays de livraison]],_10.2.INDEX_EQUIVX[#Headers]))</f>
        <v>10</v>
      </c>
      <c r="F56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57" spans="1:6">
      <c r="A57" s="5" t="s">
        <v>1057</v>
      </c>
      <c r="B57" s="56">
        <v>4</v>
      </c>
      <c r="C57" s="5" t="s">
        <v>394</v>
      </c>
      <c r="D57" s="94"/>
      <c r="E57" s="68" cm="1">
        <f t="array" ref="E57">INDEX(_10.2.INDEX_EQUIVX[],_xlfn.XMATCH(_10.1.INDEX_EQUIVX[[#This Row],[Poids colis (en kg)]],_10.2.INDEX_EQUIVX[Poids colis
jusqu''à ... kg],1),_xlfn.XMATCH(_10.1.INDEX_EQUIVX[[#This Row],[Pays de livraison]],_10.2.INDEX_EQUIVX[#Headers]))</f>
        <v>11</v>
      </c>
      <c r="F57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58" spans="1:6">
      <c r="A58" s="5" t="s">
        <v>1058</v>
      </c>
      <c r="B58" s="56">
        <v>13</v>
      </c>
      <c r="C58" s="5" t="s">
        <v>393</v>
      </c>
      <c r="D58" s="94"/>
      <c r="E58" s="68" cm="1">
        <f t="array" ref="E58">INDEX(_10.2.INDEX_EQUIVX[],_xlfn.XMATCH(_10.1.INDEX_EQUIVX[[#This Row],[Poids colis (en kg)]],_10.2.INDEX_EQUIVX[Poids colis
jusqu''à ... kg],1),_xlfn.XMATCH(_10.1.INDEX_EQUIVX[[#This Row],[Pays de livraison]],_10.2.INDEX_EQUIVX[#Headers]))</f>
        <v>30</v>
      </c>
      <c r="F58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59" spans="1:6">
      <c r="A59" s="5" t="s">
        <v>1059</v>
      </c>
      <c r="B59" s="56">
        <v>81</v>
      </c>
      <c r="C59" s="5" t="s">
        <v>394</v>
      </c>
      <c r="D59" s="94"/>
      <c r="E59" s="68" cm="1">
        <f t="array" ref="E59">INDEX(_10.2.INDEX_EQUIVX[],_xlfn.XMATCH(_10.1.INDEX_EQUIVX[[#This Row],[Poids colis (en kg)]],_10.2.INDEX_EQUIVX[Poids colis
jusqu''à ... kg],1),_xlfn.XMATCH(_10.1.INDEX_EQUIVX[[#This Row],[Pays de livraison]],_10.2.INDEX_EQUIVX[#Headers]))</f>
        <v>80</v>
      </c>
      <c r="F59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60" spans="1:6">
      <c r="A60" s="5" t="s">
        <v>1060</v>
      </c>
      <c r="B60" s="56">
        <v>13</v>
      </c>
      <c r="C60" s="5" t="s">
        <v>393</v>
      </c>
      <c r="D60" s="94"/>
      <c r="E60" s="68" cm="1">
        <f t="array" ref="E60">INDEX(_10.2.INDEX_EQUIVX[],_xlfn.XMATCH(_10.1.INDEX_EQUIVX[[#This Row],[Poids colis (en kg)]],_10.2.INDEX_EQUIVX[Poids colis
jusqu''à ... kg],1),_xlfn.XMATCH(_10.1.INDEX_EQUIVX[[#This Row],[Pays de livraison]],_10.2.INDEX_EQUIVX[#Headers]))</f>
        <v>30</v>
      </c>
      <c r="F60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61" spans="1:6">
      <c r="A61" s="5" t="s">
        <v>1061</v>
      </c>
      <c r="B61" s="56">
        <v>84</v>
      </c>
      <c r="C61" s="5" t="s">
        <v>396</v>
      </c>
      <c r="D61" s="94"/>
      <c r="E61" s="68" cm="1">
        <f t="array" ref="E61">INDEX(_10.2.INDEX_EQUIVX[],_xlfn.XMATCH(_10.1.INDEX_EQUIVX[[#This Row],[Poids colis (en kg)]],_10.2.INDEX_EQUIVX[Poids colis
jusqu''à ... kg],1),_xlfn.XMATCH(_10.1.INDEX_EQUIVX[[#This Row],[Pays de livraison]],_10.2.INDEX_EQUIVX[#Headers]))</f>
        <v>68</v>
      </c>
      <c r="F61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62" spans="1:6">
      <c r="A62" s="5" t="s">
        <v>1062</v>
      </c>
      <c r="B62" s="56">
        <v>32</v>
      </c>
      <c r="C62" s="5" t="s">
        <v>1005</v>
      </c>
      <c r="D62" s="94"/>
      <c r="E62" s="68" cm="1">
        <f t="array" ref="E62">INDEX(_10.2.INDEX_EQUIVX[],_xlfn.XMATCH(_10.1.INDEX_EQUIVX[[#This Row],[Poids colis (en kg)]],_10.2.INDEX_EQUIVX[Poids colis
jusqu''à ... kg],1),_xlfn.XMATCH(_10.1.INDEX_EQUIVX[[#This Row],[Pays de livraison]],_10.2.INDEX_EQUIVX[#Headers]))</f>
        <v>49</v>
      </c>
      <c r="F62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63" spans="1:6">
      <c r="A63" s="5" t="s">
        <v>1063</v>
      </c>
      <c r="B63" s="56">
        <v>38</v>
      </c>
      <c r="C63" s="5" t="s">
        <v>394</v>
      </c>
      <c r="D63" s="94"/>
      <c r="E63" s="68" cm="1">
        <f t="array" ref="E63">INDEX(_10.2.INDEX_EQUIVX[],_xlfn.XMATCH(_10.1.INDEX_EQUIVX[[#This Row],[Poids colis (en kg)]],_10.2.INDEX_EQUIVX[Poids colis
jusqu''à ... kg],1),_xlfn.XMATCH(_10.1.INDEX_EQUIVX[[#This Row],[Pays de livraison]],_10.2.INDEX_EQUIVX[#Headers]))</f>
        <v>38</v>
      </c>
      <c r="F63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64" spans="1:6">
      <c r="A64" s="5" t="s">
        <v>1064</v>
      </c>
      <c r="B64" s="56">
        <v>90</v>
      </c>
      <c r="C64" s="5" t="s">
        <v>394</v>
      </c>
      <c r="D64" s="94"/>
      <c r="E64" s="68" cm="1">
        <f t="array" ref="E64">INDEX(_10.2.INDEX_EQUIVX[],_xlfn.XMATCH(_10.1.INDEX_EQUIVX[[#This Row],[Poids colis (en kg)]],_10.2.INDEX_EQUIVX[Poids colis
jusqu''à ... kg],1),_xlfn.XMATCH(_10.1.INDEX_EQUIVX[[#This Row],[Pays de livraison]],_10.2.INDEX_EQUIVX[#Headers]))</f>
        <v>80</v>
      </c>
      <c r="F64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65" spans="1:6">
      <c r="A65" s="5" t="s">
        <v>1065</v>
      </c>
      <c r="B65" s="56">
        <v>9</v>
      </c>
      <c r="C65" s="5" t="s">
        <v>394</v>
      </c>
      <c r="D65" s="94"/>
      <c r="E65" s="68" cm="1">
        <f t="array" ref="E65">INDEX(_10.2.INDEX_EQUIVX[],_xlfn.XMATCH(_10.1.INDEX_EQUIVX[[#This Row],[Poids colis (en kg)]],_10.2.INDEX_EQUIVX[Poids colis
jusqu''à ... kg],1),_xlfn.XMATCH(_10.1.INDEX_EQUIVX[[#This Row],[Pays de livraison]],_10.2.INDEX_EQUIVX[#Headers]))</f>
        <v>17</v>
      </c>
      <c r="F65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66" spans="1:6">
      <c r="A66" s="5" t="s">
        <v>1066</v>
      </c>
      <c r="B66" s="56">
        <v>66</v>
      </c>
      <c r="C66" s="5" t="s">
        <v>396</v>
      </c>
      <c r="D66" s="94"/>
      <c r="E66" s="68" cm="1">
        <f t="array" ref="E66">INDEX(_10.2.INDEX_EQUIVX[],_xlfn.XMATCH(_10.1.INDEX_EQUIVX[[#This Row],[Poids colis (en kg)]],_10.2.INDEX_EQUIVX[Poids colis
jusqu''à ... kg],1),_xlfn.XMATCH(_10.1.INDEX_EQUIVX[[#This Row],[Pays de livraison]],_10.2.INDEX_EQUIVX[#Headers]))</f>
        <v>68</v>
      </c>
      <c r="F66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67" spans="1:6">
      <c r="A67" s="5" t="s">
        <v>1067</v>
      </c>
      <c r="B67" s="56">
        <v>38</v>
      </c>
      <c r="C67" s="5" t="s">
        <v>393</v>
      </c>
      <c r="D67" s="94"/>
      <c r="E67" s="68" cm="1">
        <f t="array" ref="E67">INDEX(_10.2.INDEX_EQUIVX[],_xlfn.XMATCH(_10.1.INDEX_EQUIVX[[#This Row],[Poids colis (en kg)]],_10.2.INDEX_EQUIVX[Poids colis
jusqu''à ... kg],1),_xlfn.XMATCH(_10.1.INDEX_EQUIVX[[#This Row],[Pays de livraison]],_10.2.INDEX_EQUIVX[#Headers]))</f>
        <v>45</v>
      </c>
      <c r="F67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68" spans="1:6">
      <c r="A68" s="5" t="s">
        <v>1068</v>
      </c>
      <c r="B68" s="56">
        <v>30</v>
      </c>
      <c r="C68" s="5" t="s">
        <v>393</v>
      </c>
      <c r="D68" s="94"/>
      <c r="E68" s="68" cm="1">
        <f t="array" ref="E68">INDEX(_10.2.INDEX_EQUIVX[],_xlfn.XMATCH(_10.1.INDEX_EQUIVX[[#This Row],[Poids colis (en kg)]],_10.2.INDEX_EQUIVX[Poids colis
jusqu''à ... kg],1),_xlfn.XMATCH(_10.1.INDEX_EQUIVX[[#This Row],[Pays de livraison]],_10.2.INDEX_EQUIVX[#Headers]))</f>
        <v>45</v>
      </c>
      <c r="F68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69" spans="1:6">
      <c r="A69" s="5" t="s">
        <v>1069</v>
      </c>
      <c r="B69" s="56">
        <v>28</v>
      </c>
      <c r="C69" s="5" t="s">
        <v>1005</v>
      </c>
      <c r="D69" s="94"/>
      <c r="E69" s="68" cm="1">
        <f t="array" ref="E69">INDEX(_10.2.INDEX_EQUIVX[],_xlfn.XMATCH(_10.1.INDEX_EQUIVX[[#This Row],[Poids colis (en kg)]],_10.2.INDEX_EQUIVX[Poids colis
jusqu''à ... kg],1),_xlfn.XMATCH(_10.1.INDEX_EQUIVX[[#This Row],[Pays de livraison]],_10.2.INDEX_EQUIVX[#Headers]))</f>
        <v>49</v>
      </c>
      <c r="F69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70" spans="1:6">
      <c r="A70" s="5" t="s">
        <v>1070</v>
      </c>
      <c r="B70" s="56">
        <v>62</v>
      </c>
      <c r="C70" s="5" t="s">
        <v>393</v>
      </c>
      <c r="D70" s="94"/>
      <c r="E70" s="68" cm="1">
        <f t="array" ref="E70">INDEX(_10.2.INDEX_EQUIVX[],_xlfn.XMATCH(_10.1.INDEX_EQUIVX[[#This Row],[Poids colis (en kg)]],_10.2.INDEX_EQUIVX[Poids colis
jusqu''à ... kg],1),_xlfn.XMATCH(_10.1.INDEX_EQUIVX[[#This Row],[Pays de livraison]],_10.2.INDEX_EQUIVX[#Headers]))</f>
        <v>70</v>
      </c>
      <c r="F70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71" spans="1:6">
      <c r="A71" s="5" t="s">
        <v>1071</v>
      </c>
      <c r="B71" s="56">
        <v>85</v>
      </c>
      <c r="C71" s="5" t="s">
        <v>396</v>
      </c>
      <c r="D71" s="94"/>
      <c r="E71" s="68" cm="1">
        <f t="array" ref="E71">INDEX(_10.2.INDEX_EQUIVX[],_xlfn.XMATCH(_10.1.INDEX_EQUIVX[[#This Row],[Poids colis (en kg)]],_10.2.INDEX_EQUIVX[Poids colis
jusqu''à ... kg],1),_xlfn.XMATCH(_10.1.INDEX_EQUIVX[[#This Row],[Pays de livraison]],_10.2.INDEX_EQUIVX[#Headers]))</f>
        <v>68</v>
      </c>
      <c r="F71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72" spans="1:6">
      <c r="A72" s="5" t="s">
        <v>1072</v>
      </c>
      <c r="B72" s="56">
        <v>52</v>
      </c>
      <c r="C72" s="5" t="s">
        <v>394</v>
      </c>
      <c r="D72" s="94"/>
      <c r="E72" s="68" cm="1">
        <f t="array" ref="E72">INDEX(_10.2.INDEX_EQUIVX[],_xlfn.XMATCH(_10.1.INDEX_EQUIVX[[#This Row],[Poids colis (en kg)]],_10.2.INDEX_EQUIVX[Poids colis
jusqu''à ... kg],1),_xlfn.XMATCH(_10.1.INDEX_EQUIVX[[#This Row],[Pays de livraison]],_10.2.INDEX_EQUIVX[#Headers]))</f>
        <v>80</v>
      </c>
      <c r="F72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73" spans="1:6">
      <c r="A73" s="5" t="s">
        <v>1073</v>
      </c>
      <c r="B73" s="56">
        <v>24</v>
      </c>
      <c r="C73" s="5" t="s">
        <v>396</v>
      </c>
      <c r="D73" s="94"/>
      <c r="E73" s="68" cm="1">
        <f t="array" ref="E73">INDEX(_10.2.INDEX_EQUIVX[],_xlfn.XMATCH(_10.1.INDEX_EQUIVX[[#This Row],[Poids colis (en kg)]],_10.2.INDEX_EQUIVX[Poids colis
jusqu''à ... kg],1),_xlfn.XMATCH(_10.1.INDEX_EQUIVX[[#This Row],[Pays de livraison]],_10.2.INDEX_EQUIVX[#Headers]))</f>
        <v>33</v>
      </c>
      <c r="F73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74" spans="1:6">
      <c r="A74" s="5" t="s">
        <v>1074</v>
      </c>
      <c r="B74" s="56">
        <v>67</v>
      </c>
      <c r="C74" s="5" t="s">
        <v>396</v>
      </c>
      <c r="D74" s="94"/>
      <c r="E74" s="68" cm="1">
        <f t="array" ref="E74">INDEX(_10.2.INDEX_EQUIVX[],_xlfn.XMATCH(_10.1.INDEX_EQUIVX[[#This Row],[Poids colis (en kg)]],_10.2.INDEX_EQUIVX[Poids colis
jusqu''à ... kg],1),_xlfn.XMATCH(_10.1.INDEX_EQUIVX[[#This Row],[Pays de livraison]],_10.2.INDEX_EQUIVX[#Headers]))</f>
        <v>68</v>
      </c>
      <c r="F74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75" spans="1:6">
      <c r="A75" s="5" t="s">
        <v>1075</v>
      </c>
      <c r="B75" s="56">
        <v>77</v>
      </c>
      <c r="C75" s="5" t="s">
        <v>1005</v>
      </c>
      <c r="D75" s="94"/>
      <c r="E75" s="68" cm="1">
        <f t="array" ref="E75">INDEX(_10.2.INDEX_EQUIVX[],_xlfn.XMATCH(_10.1.INDEX_EQUIVX[[#This Row],[Poids colis (en kg)]],_10.2.INDEX_EQUIVX[Poids colis
jusqu''à ... kg],1),_xlfn.XMATCH(_10.1.INDEX_EQUIVX[[#This Row],[Pays de livraison]],_10.2.INDEX_EQUIVX[#Headers]))</f>
        <v>75</v>
      </c>
      <c r="F75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76" spans="1:6">
      <c r="A76" s="5" t="s">
        <v>1076</v>
      </c>
      <c r="B76" s="56">
        <v>32</v>
      </c>
      <c r="C76" s="5" t="s">
        <v>394</v>
      </c>
      <c r="D76" s="94"/>
      <c r="E76" s="68" cm="1">
        <f t="array" ref="E76">INDEX(_10.2.INDEX_EQUIVX[],_xlfn.XMATCH(_10.1.INDEX_EQUIVX[[#This Row],[Poids colis (en kg)]],_10.2.INDEX_EQUIVX[Poids colis
jusqu''à ... kg],1),_xlfn.XMATCH(_10.1.INDEX_EQUIVX[[#This Row],[Pays de livraison]],_10.2.INDEX_EQUIVX[#Headers]))</f>
        <v>38</v>
      </c>
      <c r="F76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77" spans="1:6">
      <c r="A77" s="5" t="s">
        <v>1077</v>
      </c>
      <c r="B77" s="56">
        <v>27</v>
      </c>
      <c r="C77" s="5" t="s">
        <v>1005</v>
      </c>
      <c r="D77" s="94"/>
      <c r="E77" s="68" cm="1">
        <f t="array" ref="E77">INDEX(_10.2.INDEX_EQUIVX[],_xlfn.XMATCH(_10.1.INDEX_EQUIVX[[#This Row],[Poids colis (en kg)]],_10.2.INDEX_EQUIVX[Poids colis
jusqu''à ... kg],1),_xlfn.XMATCH(_10.1.INDEX_EQUIVX[[#This Row],[Pays de livraison]],_10.2.INDEX_EQUIVX[#Headers]))</f>
        <v>49</v>
      </c>
      <c r="F77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78" spans="1:6">
      <c r="A78" s="5" t="s">
        <v>1078</v>
      </c>
      <c r="B78" s="56">
        <v>32</v>
      </c>
      <c r="C78" s="5" t="s">
        <v>393</v>
      </c>
      <c r="D78" s="94"/>
      <c r="E78" s="68" cm="1">
        <f t="array" ref="E78">INDEX(_10.2.INDEX_EQUIVX[],_xlfn.XMATCH(_10.1.INDEX_EQUIVX[[#This Row],[Poids colis (en kg)]],_10.2.INDEX_EQUIVX[Poids colis
jusqu''à ... kg],1),_xlfn.XMATCH(_10.1.INDEX_EQUIVX[[#This Row],[Pays de livraison]],_10.2.INDEX_EQUIVX[#Headers]))</f>
        <v>45</v>
      </c>
      <c r="F78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79" spans="1:6">
      <c r="A79" s="5" t="s">
        <v>1079</v>
      </c>
      <c r="B79" s="56">
        <v>52</v>
      </c>
      <c r="C79" s="5" t="s">
        <v>393</v>
      </c>
      <c r="D79" s="94"/>
      <c r="E79" s="68" cm="1">
        <f t="array" ref="E79">INDEX(_10.2.INDEX_EQUIVX[],_xlfn.XMATCH(_10.1.INDEX_EQUIVX[[#This Row],[Poids colis (en kg)]],_10.2.INDEX_EQUIVX[Poids colis
jusqu''à ... kg],1),_xlfn.XMATCH(_10.1.INDEX_EQUIVX[[#This Row],[Pays de livraison]],_10.2.INDEX_EQUIVX[#Headers]))</f>
        <v>70</v>
      </c>
      <c r="F79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80" spans="1:6">
      <c r="A80" s="5" t="s">
        <v>1080</v>
      </c>
      <c r="B80" s="56">
        <v>20</v>
      </c>
      <c r="C80" s="5" t="s">
        <v>396</v>
      </c>
      <c r="D80" s="94"/>
      <c r="E80" s="68" cm="1">
        <f t="array" ref="E80">INDEX(_10.2.INDEX_EQUIVX[],_xlfn.XMATCH(_10.1.INDEX_EQUIVX[[#This Row],[Poids colis (en kg)]],_10.2.INDEX_EQUIVX[Poids colis
jusqu''à ... kg],1),_xlfn.XMATCH(_10.1.INDEX_EQUIVX[[#This Row],[Pays de livraison]],_10.2.INDEX_EQUIVX[#Headers]))</f>
        <v>33</v>
      </c>
      <c r="F80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81" spans="1:6">
      <c r="A81" s="5" t="s">
        <v>1081</v>
      </c>
      <c r="B81" s="56">
        <v>44</v>
      </c>
      <c r="C81" s="5" t="s">
        <v>396</v>
      </c>
      <c r="D81" s="94"/>
      <c r="E81" s="68" cm="1">
        <f t="array" ref="E81">INDEX(_10.2.INDEX_EQUIVX[],_xlfn.XMATCH(_10.1.INDEX_EQUIVX[[#This Row],[Poids colis (en kg)]],_10.2.INDEX_EQUIVX[Poids colis
jusqu''à ... kg],1),_xlfn.XMATCH(_10.1.INDEX_EQUIVX[[#This Row],[Pays de livraison]],_10.2.INDEX_EQUIVX[#Headers]))</f>
        <v>40</v>
      </c>
      <c r="F81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82" spans="1:6">
      <c r="A82" s="5" t="s">
        <v>1082</v>
      </c>
      <c r="B82" s="56">
        <v>1</v>
      </c>
      <c r="C82" s="5" t="s">
        <v>394</v>
      </c>
      <c r="D82" s="94"/>
      <c r="E82" s="68" cm="1">
        <f t="array" ref="E82">INDEX(_10.2.INDEX_EQUIVX[],_xlfn.XMATCH(_10.1.INDEX_EQUIVX[[#This Row],[Poids colis (en kg)]],_10.2.INDEX_EQUIVX[Poids colis
jusqu''à ... kg],1),_xlfn.XMATCH(_10.1.INDEX_EQUIVX[[#This Row],[Pays de livraison]],_10.2.INDEX_EQUIVX[#Headers]))</f>
        <v>3</v>
      </c>
      <c r="F82" s="68">
        <f>INDEX(_10.2.INDEX_EQUIVX[],MATCH(_10.1.INDEX_EQUIVX[[#This Row],[Poids colis (en kg)]],_10.2.INDEX_EQUIVX[Poids colis
jusqu''à ... kg],-1),MATCH(_10.1.INDEX_EQUIVX[[#This Row],[Pays de livraison]],_10.2.INDEX_EQUIVX[#Headers],0))</f>
        <v>80</v>
      </c>
    </row>
    <row r="83" spans="1:6">
      <c r="A83" s="5" t="s">
        <v>1083</v>
      </c>
      <c r="B83" s="56">
        <v>14</v>
      </c>
      <c r="C83" s="5" t="s">
        <v>393</v>
      </c>
      <c r="D83" s="94"/>
      <c r="E83" s="68" cm="1">
        <f t="array" ref="E83">INDEX(_10.2.INDEX_EQUIVX[],_xlfn.XMATCH(_10.1.INDEX_EQUIVX[[#This Row],[Poids colis (en kg)]],_10.2.INDEX_EQUIVX[Poids colis
jusqu''à ... kg],1),_xlfn.XMATCH(_10.1.INDEX_EQUIVX[[#This Row],[Pays de livraison]],_10.2.INDEX_EQUIVX[#Headers]))</f>
        <v>30</v>
      </c>
      <c r="F83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84" spans="1:6">
      <c r="A84" s="5" t="s">
        <v>1084</v>
      </c>
      <c r="B84" s="56">
        <v>6</v>
      </c>
      <c r="C84" s="5" t="s">
        <v>396</v>
      </c>
      <c r="D84" s="94"/>
      <c r="E84" s="68" cm="1">
        <f t="array" ref="E84">INDEX(_10.2.INDEX_EQUIVX[],_xlfn.XMATCH(_10.1.INDEX_EQUIVX[[#This Row],[Poids colis (en kg)]],_10.2.INDEX_EQUIVX[Poids colis
jusqu''à ... kg],1),_xlfn.XMATCH(_10.1.INDEX_EQUIVX[[#This Row],[Pays de livraison]],_10.2.INDEX_EQUIVX[#Headers]))</f>
        <v>25</v>
      </c>
      <c r="F84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85" spans="1:6">
      <c r="A85" s="5" t="s">
        <v>1085</v>
      </c>
      <c r="B85" s="56">
        <v>4</v>
      </c>
      <c r="C85" s="5" t="s">
        <v>1005</v>
      </c>
      <c r="D85" s="94"/>
      <c r="E85" s="68" cm="1">
        <f t="array" ref="E85">INDEX(_10.2.INDEX_EQUIVX[],_xlfn.XMATCH(_10.1.INDEX_EQUIVX[[#This Row],[Poids colis (en kg)]],_10.2.INDEX_EQUIVX[Poids colis
jusqu''à ... kg],1),_xlfn.XMATCH(_10.1.INDEX_EQUIVX[[#This Row],[Pays de livraison]],_10.2.INDEX_EQUIVX[#Headers]))</f>
        <v>12</v>
      </c>
      <c r="F85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86" spans="1:6">
      <c r="A86" s="5" t="s">
        <v>1086</v>
      </c>
      <c r="B86" s="56">
        <v>3</v>
      </c>
      <c r="C86" s="5" t="s">
        <v>396</v>
      </c>
      <c r="D86" s="94"/>
      <c r="E86" s="68" cm="1">
        <f t="array" ref="E86">INDEX(_10.2.INDEX_EQUIVX[],_xlfn.XMATCH(_10.1.INDEX_EQUIVX[[#This Row],[Poids colis (en kg)]],_10.2.INDEX_EQUIVX[Poids colis
jusqu''à ... kg],1),_xlfn.XMATCH(_10.1.INDEX_EQUIVX[[#This Row],[Pays de livraison]],_10.2.INDEX_EQUIVX[#Headers]))</f>
        <v>7</v>
      </c>
      <c r="F86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87" spans="1:6">
      <c r="A87" s="5" t="s">
        <v>1087</v>
      </c>
      <c r="B87" s="56">
        <v>58</v>
      </c>
      <c r="C87" s="5" t="s">
        <v>394</v>
      </c>
      <c r="D87" s="94"/>
      <c r="E87" s="68" cm="1">
        <f t="array" ref="E87">INDEX(_10.2.INDEX_EQUIVX[],_xlfn.XMATCH(_10.1.INDEX_EQUIVX[[#This Row],[Poids colis (en kg)]],_10.2.INDEX_EQUIVX[Poids colis
jusqu''à ... kg],1),_xlfn.XMATCH(_10.1.INDEX_EQUIVX[[#This Row],[Pays de livraison]],_10.2.INDEX_EQUIVX[#Headers]))</f>
        <v>80</v>
      </c>
      <c r="F87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88" spans="1:6">
      <c r="A88" s="5" t="s">
        <v>1088</v>
      </c>
      <c r="B88" s="56">
        <v>90</v>
      </c>
      <c r="C88" s="5" t="s">
        <v>393</v>
      </c>
      <c r="D88" s="94"/>
      <c r="E88" s="68" cm="1">
        <f t="array" ref="E88">INDEX(_10.2.INDEX_EQUIVX[],_xlfn.XMATCH(_10.1.INDEX_EQUIVX[[#This Row],[Poids colis (en kg)]],_10.2.INDEX_EQUIVX[Poids colis
jusqu''à ... kg],1),_xlfn.XMATCH(_10.1.INDEX_EQUIVX[[#This Row],[Pays de livraison]],_10.2.INDEX_EQUIVX[#Headers]))</f>
        <v>70</v>
      </c>
      <c r="F88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89" spans="1:6">
      <c r="A89" s="5" t="s">
        <v>1089</v>
      </c>
      <c r="B89" s="56">
        <v>44</v>
      </c>
      <c r="C89" s="5" t="s">
        <v>393</v>
      </c>
      <c r="D89" s="94"/>
      <c r="E89" s="68" cm="1">
        <f t="array" ref="E89">INDEX(_10.2.INDEX_EQUIVX[],_xlfn.XMATCH(_10.1.INDEX_EQUIVX[[#This Row],[Poids colis (en kg)]],_10.2.INDEX_EQUIVX[Poids colis
jusqu''à ... kg],1),_xlfn.XMATCH(_10.1.INDEX_EQUIVX[[#This Row],[Pays de livraison]],_10.2.INDEX_EQUIVX[#Headers]))</f>
        <v>45</v>
      </c>
      <c r="F89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90" spans="1:6">
      <c r="A90" s="5" t="s">
        <v>1090</v>
      </c>
      <c r="B90" s="56">
        <v>97</v>
      </c>
      <c r="C90" s="5" t="s">
        <v>396</v>
      </c>
      <c r="D90" s="94"/>
      <c r="E90" s="68" cm="1">
        <f t="array" ref="E90">INDEX(_10.2.INDEX_EQUIVX[],_xlfn.XMATCH(_10.1.INDEX_EQUIVX[[#This Row],[Poids colis (en kg)]],_10.2.INDEX_EQUIVX[Poids colis
jusqu''à ... kg],1),_xlfn.XMATCH(_10.1.INDEX_EQUIVX[[#This Row],[Pays de livraison]],_10.2.INDEX_EQUIVX[#Headers]))</f>
        <v>68</v>
      </c>
      <c r="F90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91" spans="1:6">
      <c r="A91" s="5" t="s">
        <v>1091</v>
      </c>
      <c r="B91" s="56">
        <v>2</v>
      </c>
      <c r="C91" s="5" t="s">
        <v>393</v>
      </c>
      <c r="D91" s="94"/>
      <c r="E91" s="68" cm="1">
        <f t="array" ref="E91">INDEX(_10.2.INDEX_EQUIVX[],_xlfn.XMATCH(_10.1.INDEX_EQUIVX[[#This Row],[Poids colis (en kg)]],_10.2.INDEX_EQUIVX[Poids colis
jusqu''à ... kg],1),_xlfn.XMATCH(_10.1.INDEX_EQUIVX[[#This Row],[Pays de livraison]],_10.2.INDEX_EQUIVX[#Headers]))</f>
        <v>5</v>
      </c>
      <c r="F91" s="68">
        <f>INDEX(_10.2.INDEX_EQUIVX[],MATCH(_10.1.INDEX_EQUIVX[[#This Row],[Poids colis (en kg)]],_10.2.INDEX_EQUIVX[Poids colis
jusqu''à ... kg],-1),MATCH(_10.1.INDEX_EQUIVX[[#This Row],[Pays de livraison]],_10.2.INDEX_EQUIVX[#Headers],0))</f>
        <v>5</v>
      </c>
    </row>
    <row r="92" spans="1:6">
      <c r="A92" s="5" t="s">
        <v>1092</v>
      </c>
      <c r="B92" s="56">
        <v>8</v>
      </c>
      <c r="C92" s="5" t="s">
        <v>1005</v>
      </c>
      <c r="D92" s="94"/>
      <c r="E92" s="68" cm="1">
        <f t="array" ref="E92">INDEX(_10.2.INDEX_EQUIVX[],_xlfn.XMATCH(_10.1.INDEX_EQUIVX[[#This Row],[Poids colis (en kg)]],_10.2.INDEX_EQUIVX[Poids colis
jusqu''à ... kg],1),_xlfn.XMATCH(_10.1.INDEX_EQUIVX[[#This Row],[Pays de livraison]],_10.2.INDEX_EQUIVX[#Headers]))</f>
        <v>22</v>
      </c>
      <c r="F92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93" spans="1:6">
      <c r="A93" s="5" t="s">
        <v>1093</v>
      </c>
      <c r="B93" s="56">
        <v>87</v>
      </c>
      <c r="C93" s="5" t="s">
        <v>396</v>
      </c>
      <c r="D93" s="94"/>
      <c r="E93" s="68" cm="1">
        <f t="array" ref="E93">INDEX(_10.2.INDEX_EQUIVX[],_xlfn.XMATCH(_10.1.INDEX_EQUIVX[[#This Row],[Poids colis (en kg)]],_10.2.INDEX_EQUIVX[Poids colis
jusqu''à ... kg],1),_xlfn.XMATCH(_10.1.INDEX_EQUIVX[[#This Row],[Pays de livraison]],_10.2.INDEX_EQUIVX[#Headers]))</f>
        <v>68</v>
      </c>
      <c r="F93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94" spans="1:6">
      <c r="A94" s="5" t="s">
        <v>1094</v>
      </c>
      <c r="B94" s="56">
        <v>96</v>
      </c>
      <c r="C94" s="5" t="s">
        <v>1005</v>
      </c>
      <c r="D94" s="94"/>
      <c r="E94" s="68" cm="1">
        <f t="array" ref="E94">INDEX(_10.2.INDEX_EQUIVX[],_xlfn.XMATCH(_10.1.INDEX_EQUIVX[[#This Row],[Poids colis (en kg)]],_10.2.INDEX_EQUIVX[Poids colis
jusqu''à ... kg],1),_xlfn.XMATCH(_10.1.INDEX_EQUIVX[[#This Row],[Pays de livraison]],_10.2.INDEX_EQUIVX[#Headers]))</f>
        <v>75</v>
      </c>
      <c r="F94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95" spans="1:6">
      <c r="A95" s="5" t="s">
        <v>1095</v>
      </c>
      <c r="B95" s="56">
        <v>56</v>
      </c>
      <c r="C95" s="5" t="s">
        <v>393</v>
      </c>
      <c r="D95" s="94"/>
      <c r="E95" s="68" cm="1">
        <f t="array" ref="E95">INDEX(_10.2.INDEX_EQUIVX[],_xlfn.XMATCH(_10.1.INDEX_EQUIVX[[#This Row],[Poids colis (en kg)]],_10.2.INDEX_EQUIVX[Poids colis
jusqu''à ... kg],1),_xlfn.XMATCH(_10.1.INDEX_EQUIVX[[#This Row],[Pays de livraison]],_10.2.INDEX_EQUIVX[#Headers]))</f>
        <v>70</v>
      </c>
      <c r="F95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96" spans="1:6">
      <c r="A96" s="5" t="s">
        <v>1096</v>
      </c>
      <c r="B96" s="56">
        <v>88</v>
      </c>
      <c r="C96" s="5" t="s">
        <v>394</v>
      </c>
      <c r="D96" s="94"/>
      <c r="E96" s="68" cm="1">
        <f t="array" ref="E96">INDEX(_10.2.INDEX_EQUIVX[],_xlfn.XMATCH(_10.1.INDEX_EQUIVX[[#This Row],[Poids colis (en kg)]],_10.2.INDEX_EQUIVX[Poids colis
jusqu''à ... kg],1),_xlfn.XMATCH(_10.1.INDEX_EQUIVX[[#This Row],[Pays de livraison]],_10.2.INDEX_EQUIVX[#Headers]))</f>
        <v>80</v>
      </c>
      <c r="F96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97" spans="1:6">
      <c r="A97" s="5" t="s">
        <v>1097</v>
      </c>
      <c r="B97" s="56">
        <v>32</v>
      </c>
      <c r="C97" s="5" t="s">
        <v>396</v>
      </c>
      <c r="D97" s="94"/>
      <c r="E97" s="68" cm="1">
        <f t="array" ref="E97">INDEX(_10.2.INDEX_EQUIVX[],_xlfn.XMATCH(_10.1.INDEX_EQUIVX[[#This Row],[Poids colis (en kg)]],_10.2.INDEX_EQUIVX[Poids colis
jusqu''à ... kg],1),_xlfn.XMATCH(_10.1.INDEX_EQUIVX[[#This Row],[Pays de livraison]],_10.2.INDEX_EQUIVX[#Headers]))</f>
        <v>40</v>
      </c>
      <c r="F97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98" spans="1:6">
      <c r="A98" s="5" t="s">
        <v>1098</v>
      </c>
      <c r="B98" s="56">
        <v>42</v>
      </c>
      <c r="C98" s="5" t="s">
        <v>1005</v>
      </c>
      <c r="D98" s="94"/>
      <c r="E98" s="68" cm="1">
        <f t="array" ref="E98">INDEX(_10.2.INDEX_EQUIVX[],_xlfn.XMATCH(_10.1.INDEX_EQUIVX[[#This Row],[Poids colis (en kg)]],_10.2.INDEX_EQUIVX[Poids colis
jusqu''à ... kg],1),_xlfn.XMATCH(_10.1.INDEX_EQUIVX[[#This Row],[Pays de livraison]],_10.2.INDEX_EQUIVX[#Headers]))</f>
        <v>49</v>
      </c>
      <c r="F98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99" spans="1:6">
      <c r="A99" s="5" t="s">
        <v>1099</v>
      </c>
      <c r="B99" s="56">
        <v>18</v>
      </c>
      <c r="C99" s="5" t="s">
        <v>394</v>
      </c>
      <c r="D99" s="94"/>
      <c r="E99" s="68" cm="1">
        <f t="array" ref="E99">INDEX(_10.2.INDEX_EQUIVX[],_xlfn.XMATCH(_10.1.INDEX_EQUIVX[[#This Row],[Poids colis (en kg)]],_10.2.INDEX_EQUIVX[Poids colis
jusqu''à ... kg],1),_xlfn.XMATCH(_10.1.INDEX_EQUIVX[[#This Row],[Pays de livraison]],_10.2.INDEX_EQUIVX[#Headers]))</f>
        <v>28</v>
      </c>
      <c r="F99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100" spans="1:6">
      <c r="A100" s="5" t="s">
        <v>1100</v>
      </c>
      <c r="B100" s="56">
        <v>51</v>
      </c>
      <c r="C100" s="5" t="s">
        <v>394</v>
      </c>
      <c r="D100" s="94"/>
      <c r="E100" s="68" cm="1">
        <f t="array" ref="E100">INDEX(_10.2.INDEX_EQUIVX[],_xlfn.XMATCH(_10.1.INDEX_EQUIVX[[#This Row],[Poids colis (en kg)]],_10.2.INDEX_EQUIVX[Poids colis
jusqu''à ... kg],1),_xlfn.XMATCH(_10.1.INDEX_EQUIVX[[#This Row],[Pays de livraison]],_10.2.INDEX_EQUIVX[#Headers]))</f>
        <v>80</v>
      </c>
      <c r="F100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101" spans="1:6">
      <c r="A101" s="5" t="s">
        <v>1101</v>
      </c>
      <c r="B101" s="56">
        <v>35</v>
      </c>
      <c r="C101" s="5" t="s">
        <v>394</v>
      </c>
      <c r="D101" s="94"/>
      <c r="E101" s="68" cm="1">
        <f t="array" ref="E101">INDEX(_10.2.INDEX_EQUIVX[],_xlfn.XMATCH(_10.1.INDEX_EQUIVX[[#This Row],[Poids colis (en kg)]],_10.2.INDEX_EQUIVX[Poids colis
jusqu''à ... kg],1),_xlfn.XMATCH(_10.1.INDEX_EQUIVX[[#This Row],[Pays de livraison]],_10.2.INDEX_EQUIVX[#Headers]))</f>
        <v>38</v>
      </c>
      <c r="F101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102" spans="1:6">
      <c r="A102" s="5" t="s">
        <v>1102</v>
      </c>
      <c r="B102" s="56">
        <v>29</v>
      </c>
      <c r="C102" s="5" t="s">
        <v>396</v>
      </c>
      <c r="D102" s="94"/>
      <c r="E102" s="68" cm="1">
        <f t="array" ref="E102">INDEX(_10.2.INDEX_EQUIVX[],_xlfn.XMATCH(_10.1.INDEX_EQUIVX[[#This Row],[Poids colis (en kg)]],_10.2.INDEX_EQUIVX[Poids colis
jusqu''à ... kg],1),_xlfn.XMATCH(_10.1.INDEX_EQUIVX[[#This Row],[Pays de livraison]],_10.2.INDEX_EQUIVX[#Headers]))</f>
        <v>40</v>
      </c>
      <c r="F102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103" spans="1:6">
      <c r="A103" s="5" t="s">
        <v>1103</v>
      </c>
      <c r="B103" s="56">
        <v>16</v>
      </c>
      <c r="C103" s="5" t="s">
        <v>393</v>
      </c>
      <c r="D103" s="94"/>
      <c r="E103" s="68" cm="1">
        <f t="array" ref="E103">INDEX(_10.2.INDEX_EQUIVX[],_xlfn.XMATCH(_10.1.INDEX_EQUIVX[[#This Row],[Poids colis (en kg)]],_10.2.INDEX_EQUIVX[Poids colis
jusqu''à ... kg],1),_xlfn.XMATCH(_10.1.INDEX_EQUIVX[[#This Row],[Pays de livraison]],_10.2.INDEX_EQUIVX[#Headers]))</f>
        <v>30</v>
      </c>
      <c r="F103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104" spans="1:6">
      <c r="A104" s="5" t="s">
        <v>1104</v>
      </c>
      <c r="B104" s="56">
        <v>85</v>
      </c>
      <c r="C104" s="5" t="s">
        <v>396</v>
      </c>
      <c r="D104" s="94"/>
      <c r="E104" s="68" cm="1">
        <f t="array" ref="E104">INDEX(_10.2.INDEX_EQUIVX[],_xlfn.XMATCH(_10.1.INDEX_EQUIVX[[#This Row],[Poids colis (en kg)]],_10.2.INDEX_EQUIVX[Poids colis
jusqu''à ... kg],1),_xlfn.XMATCH(_10.1.INDEX_EQUIVX[[#This Row],[Pays de livraison]],_10.2.INDEX_EQUIVX[#Headers]))</f>
        <v>68</v>
      </c>
      <c r="F104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105" spans="1:6">
      <c r="A105" s="5" t="s">
        <v>1105</v>
      </c>
      <c r="B105" s="56">
        <v>83</v>
      </c>
      <c r="C105" s="5" t="s">
        <v>394</v>
      </c>
      <c r="D105" s="94"/>
      <c r="E105" s="68" cm="1">
        <f t="array" ref="E105">INDEX(_10.2.INDEX_EQUIVX[],_xlfn.XMATCH(_10.1.INDEX_EQUIVX[[#This Row],[Poids colis (en kg)]],_10.2.INDEX_EQUIVX[Poids colis
jusqu''à ... kg],1),_xlfn.XMATCH(_10.1.INDEX_EQUIVX[[#This Row],[Pays de livraison]],_10.2.INDEX_EQUIVX[#Headers]))</f>
        <v>80</v>
      </c>
      <c r="F105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106" spans="1:6">
      <c r="A106" s="5" t="s">
        <v>1106</v>
      </c>
      <c r="B106" s="56">
        <v>62</v>
      </c>
      <c r="C106" s="5" t="s">
        <v>396</v>
      </c>
      <c r="D106" s="94"/>
      <c r="E106" s="68" cm="1">
        <f t="array" ref="E106">INDEX(_10.2.INDEX_EQUIVX[],_xlfn.XMATCH(_10.1.INDEX_EQUIVX[[#This Row],[Poids colis (en kg)]],_10.2.INDEX_EQUIVX[Poids colis
jusqu''à ... kg],1),_xlfn.XMATCH(_10.1.INDEX_EQUIVX[[#This Row],[Pays de livraison]],_10.2.INDEX_EQUIVX[#Headers]))</f>
        <v>68</v>
      </c>
      <c r="F106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  <row r="107" spans="1:6">
      <c r="A107" s="5" t="s">
        <v>1107</v>
      </c>
      <c r="B107" s="56">
        <v>73</v>
      </c>
      <c r="C107" s="5" t="s">
        <v>1005</v>
      </c>
      <c r="D107" s="94"/>
      <c r="E107" s="68" cm="1">
        <f t="array" ref="E107">INDEX(_10.2.INDEX_EQUIVX[],_xlfn.XMATCH(_10.1.INDEX_EQUIVX[[#This Row],[Poids colis (en kg)]],_10.2.INDEX_EQUIVX[Poids colis
jusqu''à ... kg],1),_xlfn.XMATCH(_10.1.INDEX_EQUIVX[[#This Row],[Pays de livraison]],_10.2.INDEX_EQUIVX[#Headers]))</f>
        <v>75</v>
      </c>
      <c r="F107" s="68" t="e">
        <f>INDEX(_10.2.INDEX_EQUIVX[],MATCH(_10.1.INDEX_EQUIVX[[#This Row],[Poids colis (en kg)]],_10.2.INDEX_EQUIVX[Poids colis
jusqu''à ... kg],-1),MATCH(_10.1.INDEX_EQUIVX[[#This Row],[Pays de livraison]],_10.2.INDEX_EQUIVX[#Headers],0))</f>
        <v>#N/A</v>
      </c>
    </row>
  </sheetData>
  <mergeCells count="1">
    <mergeCell ref="H6:L6"/>
  </mergeCells>
  <phoneticPr fontId="5" type="noConversion"/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B04D1-C960-AE4B-A4CA-F792097F5BE3}">
  <sheetPr>
    <tabColor theme="5" tint="0.79998168889431442"/>
  </sheetPr>
  <dimension ref="A1:J34"/>
  <sheetViews>
    <sheetView showGridLines="0" workbookViewId="0">
      <pane ySplit="4" topLeftCell="A5" activePane="bottomLeft" state="frozen"/>
      <selection pane="bottomLeft" activeCell="F10" sqref="F10"/>
    </sheetView>
  </sheetViews>
  <sheetFormatPr baseColWidth="10" defaultColWidth="12.109375" defaultRowHeight="14.4"/>
  <cols>
    <col min="1" max="2" width="18.33203125" style="1" customWidth="1"/>
    <col min="3" max="3" width="35.77734375" style="1" customWidth="1"/>
    <col min="4" max="16384" width="12.109375" style="1"/>
  </cols>
  <sheetData>
    <row r="1" spans="1:10">
      <c r="A1" s="29" t="s">
        <v>132</v>
      </c>
      <c r="B1" s="29"/>
      <c r="C1" s="29"/>
    </row>
    <row r="2" spans="1:10">
      <c r="A2" s="32" t="s">
        <v>287</v>
      </c>
      <c r="B2" s="31"/>
      <c r="C2" s="31"/>
    </row>
    <row r="4" spans="1:10">
      <c r="A4" s="1" t="s">
        <v>1</v>
      </c>
      <c r="B4" s="1" t="s">
        <v>2</v>
      </c>
      <c r="C4" s="1" t="s">
        <v>3</v>
      </c>
    </row>
    <row r="5" spans="1:10">
      <c r="A5" s="5" t="s">
        <v>34</v>
      </c>
      <c r="B5" s="2" t="s">
        <v>124</v>
      </c>
      <c r="C5" s="45" t="s">
        <v>125</v>
      </c>
      <c r="I5"/>
      <c r="J5"/>
    </row>
    <row r="6" spans="1:10">
      <c r="A6" s="5" t="s">
        <v>34</v>
      </c>
      <c r="B6" s="2" t="s">
        <v>124</v>
      </c>
      <c r="C6" s="45" t="s">
        <v>83</v>
      </c>
      <c r="I6"/>
      <c r="J6"/>
    </row>
    <row r="7" spans="1:10">
      <c r="A7" s="5" t="s">
        <v>34</v>
      </c>
      <c r="B7" s="2" t="s">
        <v>33</v>
      </c>
      <c r="C7" s="45" t="s">
        <v>83</v>
      </c>
      <c r="I7"/>
      <c r="J7"/>
    </row>
    <row r="8" spans="1:10">
      <c r="A8" s="5" t="s">
        <v>70</v>
      </c>
      <c r="B8" s="2" t="s">
        <v>69</v>
      </c>
      <c r="C8" s="45" t="s">
        <v>103</v>
      </c>
      <c r="I8"/>
      <c r="J8"/>
    </row>
    <row r="9" spans="1:10">
      <c r="A9" s="5" t="s">
        <v>70</v>
      </c>
      <c r="B9" s="2" t="s">
        <v>69</v>
      </c>
      <c r="C9" s="45" t="s">
        <v>103</v>
      </c>
      <c r="I9"/>
      <c r="J9"/>
    </row>
    <row r="10" spans="1:10">
      <c r="A10" s="5" t="s">
        <v>74</v>
      </c>
      <c r="B10" s="2" t="s">
        <v>73</v>
      </c>
      <c r="C10" s="45" t="s">
        <v>105</v>
      </c>
      <c r="I10"/>
      <c r="J10"/>
    </row>
    <row r="11" spans="1:10">
      <c r="A11" s="5" t="s">
        <v>74</v>
      </c>
      <c r="B11" s="2" t="s">
        <v>73</v>
      </c>
      <c r="C11" s="45" t="s">
        <v>126</v>
      </c>
      <c r="I11"/>
      <c r="J11"/>
    </row>
    <row r="12" spans="1:10">
      <c r="A12" s="5" t="s">
        <v>74</v>
      </c>
      <c r="B12" s="2" t="s">
        <v>73</v>
      </c>
      <c r="C12" s="45" t="s">
        <v>127</v>
      </c>
      <c r="I12"/>
      <c r="J12"/>
    </row>
    <row r="13" spans="1:10">
      <c r="A13" s="5" t="s">
        <v>26</v>
      </c>
      <c r="B13" s="2" t="s">
        <v>25</v>
      </c>
      <c r="C13" s="45" t="s">
        <v>88</v>
      </c>
      <c r="I13"/>
      <c r="J13"/>
    </row>
    <row r="14" spans="1:10">
      <c r="A14" s="5" t="s">
        <v>78</v>
      </c>
      <c r="B14" s="2" t="s">
        <v>77</v>
      </c>
      <c r="C14" s="45" t="s">
        <v>119</v>
      </c>
      <c r="I14"/>
      <c r="J14"/>
    </row>
    <row r="15" spans="1:10">
      <c r="A15" s="5" t="s">
        <v>40</v>
      </c>
      <c r="B15" s="2" t="s">
        <v>39</v>
      </c>
      <c r="C15" s="45" t="s">
        <v>96</v>
      </c>
      <c r="I15"/>
      <c r="J15"/>
    </row>
    <row r="16" spans="1:10">
      <c r="A16" s="5" t="s">
        <v>40</v>
      </c>
      <c r="B16" s="2" t="s">
        <v>39</v>
      </c>
      <c r="C16" s="45" t="s">
        <v>123</v>
      </c>
      <c r="I16"/>
      <c r="J16"/>
    </row>
    <row r="17" spans="1:10">
      <c r="A17" s="5" t="s">
        <v>24</v>
      </c>
      <c r="B17" s="2" t="s">
        <v>23</v>
      </c>
      <c r="C17" s="45" t="s">
        <v>122</v>
      </c>
      <c r="I17"/>
      <c r="J17"/>
    </row>
    <row r="18" spans="1:10">
      <c r="A18" s="5" t="s">
        <v>24</v>
      </c>
      <c r="B18" s="2" t="s">
        <v>23</v>
      </c>
      <c r="C18" s="45" t="s">
        <v>91</v>
      </c>
      <c r="I18"/>
      <c r="J18"/>
    </row>
    <row r="19" spans="1:10">
      <c r="A19" s="5" t="s">
        <v>24</v>
      </c>
      <c r="B19" s="2" t="s">
        <v>23</v>
      </c>
      <c r="C19" s="45" t="s">
        <v>117</v>
      </c>
      <c r="I19"/>
      <c r="J19"/>
    </row>
    <row r="20" spans="1:10">
      <c r="A20" s="5" t="s">
        <v>36</v>
      </c>
      <c r="B20" s="2" t="s">
        <v>35</v>
      </c>
      <c r="C20" s="45" t="s">
        <v>128</v>
      </c>
      <c r="I20"/>
      <c r="J20"/>
    </row>
    <row r="21" spans="1:10">
      <c r="A21" s="5" t="s">
        <v>36</v>
      </c>
      <c r="B21" s="2" t="s">
        <v>35</v>
      </c>
      <c r="C21" s="45" t="s">
        <v>121</v>
      </c>
      <c r="I21"/>
      <c r="J21"/>
    </row>
    <row r="22" spans="1:10">
      <c r="A22" s="5" t="s">
        <v>36</v>
      </c>
      <c r="B22" s="2" t="s">
        <v>35</v>
      </c>
      <c r="C22" s="45" t="s">
        <v>102</v>
      </c>
      <c r="I22"/>
      <c r="J22"/>
    </row>
    <row r="23" spans="1:10">
      <c r="A23" s="5" t="s">
        <v>36</v>
      </c>
      <c r="B23" s="2" t="s">
        <v>35</v>
      </c>
      <c r="C23" s="45" t="s">
        <v>120</v>
      </c>
    </row>
    <row r="24" spans="1:10">
      <c r="A24" s="5" t="s">
        <v>82</v>
      </c>
      <c r="B24" s="2" t="s">
        <v>58</v>
      </c>
      <c r="C24" s="45" t="s">
        <v>130</v>
      </c>
    </row>
    <row r="25" spans="1:10">
      <c r="A25" s="5" t="s">
        <v>82</v>
      </c>
      <c r="B25" s="2" t="s">
        <v>58</v>
      </c>
      <c r="C25" s="45" t="s">
        <v>131</v>
      </c>
    </row>
    <row r="26" spans="1:10">
      <c r="A26" s="5" t="s">
        <v>82</v>
      </c>
      <c r="B26" s="2" t="s">
        <v>58</v>
      </c>
      <c r="C26" s="45" t="s">
        <v>112</v>
      </c>
    </row>
    <row r="27" spans="1:10">
      <c r="A27" s="5" t="s">
        <v>82</v>
      </c>
      <c r="B27" s="2" t="s">
        <v>58</v>
      </c>
      <c r="C27" s="45" t="s">
        <v>84</v>
      </c>
    </row>
    <row r="28" spans="1:10">
      <c r="A28" s="5" t="s">
        <v>82</v>
      </c>
      <c r="B28" s="2" t="s">
        <v>58</v>
      </c>
      <c r="C28" s="45" t="s">
        <v>113</v>
      </c>
    </row>
    <row r="29" spans="1:10">
      <c r="A29" s="5" t="s">
        <v>44</v>
      </c>
      <c r="B29" s="2" t="s">
        <v>43</v>
      </c>
      <c r="C29" s="45" t="s">
        <v>118</v>
      </c>
    </row>
    <row r="30" spans="1:10">
      <c r="A30" s="5" t="s">
        <v>44</v>
      </c>
      <c r="B30" s="2" t="s">
        <v>43</v>
      </c>
      <c r="C30" s="45" t="s">
        <v>114</v>
      </c>
    </row>
    <row r="31" spans="1:10">
      <c r="A31" s="5" t="s">
        <v>20</v>
      </c>
      <c r="B31" s="2" t="s">
        <v>19</v>
      </c>
      <c r="C31" s="45" t="s">
        <v>101</v>
      </c>
    </row>
    <row r="32" spans="1:10">
      <c r="A32" s="5" t="s">
        <v>60</v>
      </c>
      <c r="B32" s="2" t="s">
        <v>59</v>
      </c>
      <c r="C32" s="45" t="s">
        <v>97</v>
      </c>
    </row>
    <row r="33" spans="1:3">
      <c r="A33" s="5" t="s">
        <v>47</v>
      </c>
      <c r="B33" s="2" t="s">
        <v>46</v>
      </c>
      <c r="C33" s="45" t="s">
        <v>90</v>
      </c>
    </row>
    <row r="34" spans="1:3">
      <c r="A34" s="5" t="s">
        <v>18</v>
      </c>
      <c r="B34" s="2" t="s">
        <v>17</v>
      </c>
      <c r="C34" s="45" t="s">
        <v>86</v>
      </c>
    </row>
  </sheetData>
  <pageMargins left="0.7" right="0.7" top="0.75" bottom="0.75" header="0.3" footer="0.3"/>
  <pageSetup paperSize="9" orientation="portrait" horizontalDpi="90" verticalDpi="90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ACE38-4980-AB46-8242-C09BDCA2DF2C}">
  <sheetPr>
    <tabColor theme="5" tint="0.79998168889431442"/>
  </sheetPr>
  <dimension ref="A1:M45"/>
  <sheetViews>
    <sheetView showGridLines="0" workbookViewId="0">
      <pane ySplit="6" topLeftCell="A39" activePane="bottomLeft" state="frozen"/>
      <selection activeCell="D7" sqref="D7"/>
      <selection pane="bottomLeft" activeCell="G13" sqref="G13"/>
    </sheetView>
  </sheetViews>
  <sheetFormatPr baseColWidth="10" defaultColWidth="12.109375" defaultRowHeight="14.4"/>
  <cols>
    <col min="1" max="2" width="18.33203125" style="1" customWidth="1"/>
    <col min="3" max="3" width="35.77734375" style="1" customWidth="1"/>
    <col min="4" max="5" width="25.77734375" style="1" customWidth="1"/>
    <col min="6" max="8" width="12.109375" style="1"/>
    <col min="9" max="9" width="19.5546875" style="1" bestFit="1" customWidth="1"/>
    <col min="10" max="10" width="14.5546875" style="1" bestFit="1" customWidth="1"/>
    <col min="11" max="16384" width="12.109375" style="1"/>
  </cols>
  <sheetData>
    <row r="1" spans="1:13">
      <c r="A1" s="29" t="s">
        <v>132</v>
      </c>
      <c r="B1" s="29"/>
      <c r="C1" s="29"/>
      <c r="D1" s="29"/>
      <c r="E1" s="29"/>
    </row>
    <row r="2" spans="1:13">
      <c r="A2" s="32" t="s">
        <v>278</v>
      </c>
      <c r="B2" s="31"/>
      <c r="C2" s="31"/>
      <c r="D2" s="31"/>
      <c r="E2" s="31"/>
    </row>
    <row r="3" spans="1:13">
      <c r="A3" s="31" t="s">
        <v>280</v>
      </c>
      <c r="B3" s="31"/>
      <c r="C3" s="31"/>
      <c r="D3" s="31"/>
      <c r="E3" s="31"/>
    </row>
    <row r="4" spans="1:13">
      <c r="A4" s="42" t="s">
        <v>279</v>
      </c>
      <c r="B4" s="31"/>
      <c r="C4" s="31"/>
      <c r="D4" s="31"/>
      <c r="E4" s="31"/>
    </row>
    <row r="6" spans="1:13">
      <c r="A6" s="1" t="s">
        <v>1</v>
      </c>
      <c r="B6" s="1" t="s">
        <v>2</v>
      </c>
      <c r="C6" s="1" t="s">
        <v>3</v>
      </c>
      <c r="D6" s="1" t="s">
        <v>109</v>
      </c>
      <c r="E6" s="27" t="s">
        <v>81</v>
      </c>
    </row>
    <row r="7" spans="1:13">
      <c r="A7" s="5" t="s">
        <v>34</v>
      </c>
      <c r="B7" s="2" t="s">
        <v>124</v>
      </c>
      <c r="C7" s="45" t="s">
        <v>125</v>
      </c>
      <c r="D7" s="96"/>
      <c r="E7" s="44" t="str">
        <f>_12.Liste_données_uniques[[#This Row],[Nom]]&amp;" "&amp;_12.Liste_données_uniques[[#This Row],[Prénom]]</f>
        <v>ADÉSSIN Bérangère</v>
      </c>
      <c r="L7"/>
      <c r="M7"/>
    </row>
    <row r="8" spans="1:13">
      <c r="A8" s="5" t="s">
        <v>34</v>
      </c>
      <c r="B8" s="2" t="s">
        <v>124</v>
      </c>
      <c r="C8" s="45" t="s">
        <v>83</v>
      </c>
      <c r="D8" s="96"/>
      <c r="E8" s="44" t="str">
        <f>_12.Liste_données_uniques[[#This Row],[Nom]]&amp;" "&amp;_12.Liste_données_uniques[[#This Row],[Prénom]]</f>
        <v>ADÉSSIN Bérangère</v>
      </c>
      <c r="L8"/>
      <c r="M8"/>
    </row>
    <row r="9" spans="1:13">
      <c r="A9" s="5" t="s">
        <v>34</v>
      </c>
      <c r="B9" s="2" t="s">
        <v>33</v>
      </c>
      <c r="C9" s="45" t="s">
        <v>83</v>
      </c>
      <c r="D9" s="96"/>
      <c r="E9" s="44" t="str">
        <f>_12.Liste_données_uniques[[#This Row],[Nom]]&amp;" "&amp;_12.Liste_données_uniques[[#This Row],[Prénom]]</f>
        <v>ADÉSSIN Blanche</v>
      </c>
      <c r="L9"/>
      <c r="M9"/>
    </row>
    <row r="10" spans="1:13">
      <c r="A10" s="5" t="s">
        <v>34</v>
      </c>
      <c r="B10" s="2" t="s">
        <v>33</v>
      </c>
      <c r="C10" s="45" t="s">
        <v>110</v>
      </c>
      <c r="D10" s="96"/>
      <c r="E10" s="44" t="str">
        <f>_12.Liste_données_uniques[[#This Row],[Nom]]&amp;" "&amp;_12.Liste_données_uniques[[#This Row],[Prénom]]</f>
        <v>ADÉSSIN Blanche</v>
      </c>
      <c r="L10"/>
      <c r="M10"/>
    </row>
    <row r="11" spans="1:13">
      <c r="A11" s="5" t="s">
        <v>34</v>
      </c>
      <c r="B11" s="2" t="s">
        <v>33</v>
      </c>
      <c r="C11" s="45" t="s">
        <v>111</v>
      </c>
      <c r="D11" s="96"/>
      <c r="E11" s="44" t="str">
        <f>_12.Liste_données_uniques[[#This Row],[Nom]]&amp;" "&amp;_12.Liste_données_uniques[[#This Row],[Prénom]]</f>
        <v>ADÉSSIN Blanche</v>
      </c>
      <c r="L11"/>
      <c r="M11"/>
    </row>
    <row r="12" spans="1:13">
      <c r="A12" s="5" t="s">
        <v>34</v>
      </c>
      <c r="B12" s="2" t="s">
        <v>33</v>
      </c>
      <c r="C12" s="45" t="s">
        <v>83</v>
      </c>
      <c r="D12" s="96"/>
      <c r="E12" s="44" t="str">
        <f>_12.Liste_données_uniques[[#This Row],[Nom]]&amp;" "&amp;_12.Liste_données_uniques[[#This Row],[Prénom]]</f>
        <v>ADÉSSIN Blanche</v>
      </c>
      <c r="L12"/>
      <c r="M12"/>
    </row>
    <row r="13" spans="1:13">
      <c r="A13" s="5" t="s">
        <v>70</v>
      </c>
      <c r="B13" s="2" t="s">
        <v>69</v>
      </c>
      <c r="C13" s="45" t="s">
        <v>103</v>
      </c>
      <c r="D13" s="96"/>
      <c r="E13" s="44" t="str">
        <f>_12.Liste_données_uniques[[#This Row],[Nom]]&amp;" "&amp;_12.Liste_données_uniques[[#This Row],[Prénom]]</f>
        <v>ALIZAN Gaspard</v>
      </c>
      <c r="L13"/>
      <c r="M13"/>
    </row>
    <row r="14" spans="1:13">
      <c r="A14" s="5" t="s">
        <v>70</v>
      </c>
      <c r="B14" s="2" t="s">
        <v>69</v>
      </c>
      <c r="C14" s="45" t="s">
        <v>103</v>
      </c>
      <c r="D14" s="96"/>
      <c r="E14" s="44" t="str">
        <f>_12.Liste_données_uniques[[#This Row],[Nom]]&amp;" "&amp;_12.Liste_données_uniques[[#This Row],[Prénom]]</f>
        <v>ALIZAN Gaspard</v>
      </c>
      <c r="I14" s="106" t="s">
        <v>1144</v>
      </c>
      <c r="J14" t="s">
        <v>1164</v>
      </c>
      <c r="K14"/>
      <c r="L14"/>
      <c r="M14"/>
    </row>
    <row r="15" spans="1:13">
      <c r="A15" s="5" t="s">
        <v>80</v>
      </c>
      <c r="B15" s="2" t="s">
        <v>79</v>
      </c>
      <c r="C15" s="45" t="s">
        <v>104</v>
      </c>
      <c r="D15" s="96"/>
      <c r="E15" s="44" t="str">
        <f>_12.Liste_données_uniques[[#This Row],[Nom]]&amp;" "&amp;_12.Liste_données_uniques[[#This Row],[Prénom]]</f>
        <v>AMO Nadine</v>
      </c>
      <c r="I15" s="107" t="s">
        <v>1145</v>
      </c>
      <c r="J15" s="108">
        <v>2</v>
      </c>
      <c r="K15"/>
      <c r="L15"/>
      <c r="M15"/>
    </row>
    <row r="16" spans="1:13">
      <c r="A16" s="5" t="s">
        <v>74</v>
      </c>
      <c r="B16" s="2" t="s">
        <v>73</v>
      </c>
      <c r="C16" s="45" t="s">
        <v>105</v>
      </c>
      <c r="D16" s="96"/>
      <c r="E16" s="44" t="str">
        <f>_12.Liste_données_uniques[[#This Row],[Nom]]&amp;" "&amp;_12.Liste_données_uniques[[#This Row],[Prénom]]</f>
        <v>AREPASSÉ Jennifer</v>
      </c>
      <c r="I16" s="107" t="s">
        <v>1146</v>
      </c>
      <c r="J16" s="108">
        <v>4</v>
      </c>
      <c r="K16"/>
      <c r="L16"/>
      <c r="M16"/>
    </row>
    <row r="17" spans="1:13">
      <c r="A17" s="5" t="s">
        <v>74</v>
      </c>
      <c r="B17" s="2" t="s">
        <v>73</v>
      </c>
      <c r="C17" s="45" t="s">
        <v>126</v>
      </c>
      <c r="D17" s="96"/>
      <c r="E17" s="44" t="str">
        <f>_12.Liste_données_uniques[[#This Row],[Nom]]&amp;" "&amp;_12.Liste_données_uniques[[#This Row],[Prénom]]</f>
        <v>AREPASSÉ Jennifer</v>
      </c>
      <c r="I17" s="107" t="s">
        <v>1147</v>
      </c>
      <c r="J17" s="108">
        <v>2</v>
      </c>
      <c r="K17"/>
      <c r="L17"/>
      <c r="M17"/>
    </row>
    <row r="18" spans="1:13">
      <c r="A18" s="5" t="s">
        <v>74</v>
      </c>
      <c r="B18" s="2" t="s">
        <v>73</v>
      </c>
      <c r="C18" s="45" t="s">
        <v>127</v>
      </c>
      <c r="D18" s="96"/>
      <c r="E18" s="44" t="str">
        <f>_12.Liste_données_uniques[[#This Row],[Nom]]&amp;" "&amp;_12.Liste_données_uniques[[#This Row],[Prénom]]</f>
        <v>AREPASSÉ Jennifer</v>
      </c>
      <c r="I18" s="107" t="s">
        <v>1148</v>
      </c>
      <c r="J18" s="108">
        <v>1</v>
      </c>
      <c r="K18"/>
      <c r="L18"/>
      <c r="M18"/>
    </row>
    <row r="19" spans="1:13">
      <c r="A19" s="5" t="s">
        <v>26</v>
      </c>
      <c r="B19" s="2" t="s">
        <v>25</v>
      </c>
      <c r="C19" s="45" t="s">
        <v>88</v>
      </c>
      <c r="D19" s="96"/>
      <c r="E19" s="44" t="str">
        <f>_12.Liste_données_uniques[[#This Row],[Nom]]&amp;" "&amp;_12.Liste_données_uniques[[#This Row],[Prénom]]</f>
        <v>DEJEU Bernadette</v>
      </c>
      <c r="I19" s="107" t="s">
        <v>1149</v>
      </c>
      <c r="J19" s="108">
        <v>3</v>
      </c>
      <c r="K19"/>
      <c r="L19"/>
      <c r="M19"/>
    </row>
    <row r="20" spans="1:13">
      <c r="A20" s="5" t="s">
        <v>115</v>
      </c>
      <c r="B20" s="2" t="s">
        <v>45</v>
      </c>
      <c r="C20" s="45" t="s">
        <v>116</v>
      </c>
      <c r="D20" s="96"/>
      <c r="E20" s="44" t="str">
        <f>_12.Liste_données_uniques[[#This Row],[Nom]]&amp;" "&amp;_12.Liste_données_uniques[[#This Row],[Prénom]]</f>
        <v>DELUNE Claire</v>
      </c>
      <c r="I20" s="107" t="s">
        <v>1150</v>
      </c>
      <c r="J20" s="108">
        <v>1</v>
      </c>
      <c r="K20"/>
      <c r="L20"/>
      <c r="M20"/>
    </row>
    <row r="21" spans="1:13">
      <c r="A21" s="5" t="s">
        <v>78</v>
      </c>
      <c r="B21" s="2" t="s">
        <v>77</v>
      </c>
      <c r="C21" s="45" t="s">
        <v>107</v>
      </c>
      <c r="D21" s="96"/>
      <c r="E21" s="44" t="str">
        <f>_12.Liste_données_uniques[[#This Row],[Nom]]&amp;" "&amp;_12.Liste_données_uniques[[#This Row],[Prénom]]</f>
        <v>DEMESSE Michel</v>
      </c>
      <c r="H21"/>
      <c r="I21" s="107" t="s">
        <v>1151</v>
      </c>
      <c r="J21" s="108">
        <v>1</v>
      </c>
      <c r="K21"/>
      <c r="L21"/>
      <c r="M21"/>
    </row>
    <row r="22" spans="1:13">
      <c r="A22" s="5" t="s">
        <v>78</v>
      </c>
      <c r="B22" s="2" t="s">
        <v>77</v>
      </c>
      <c r="C22" s="45" t="s">
        <v>119</v>
      </c>
      <c r="D22" s="96"/>
      <c r="E22" s="44" t="str">
        <f>_12.Liste_données_uniques[[#This Row],[Nom]]&amp;" "&amp;_12.Liste_données_uniques[[#This Row],[Prénom]]</f>
        <v>DEMESSE Michel</v>
      </c>
      <c r="H22"/>
      <c r="I22" s="107" t="s">
        <v>1152</v>
      </c>
      <c r="J22" s="108">
        <v>2</v>
      </c>
      <c r="K22"/>
      <c r="L22"/>
      <c r="M22"/>
    </row>
    <row r="23" spans="1:13">
      <c r="A23" s="5" t="s">
        <v>40</v>
      </c>
      <c r="B23" s="2" t="s">
        <v>39</v>
      </c>
      <c r="C23" s="45" t="s">
        <v>96</v>
      </c>
      <c r="D23" s="96"/>
      <c r="E23" s="44" t="str">
        <f>_12.Liste_données_uniques[[#This Row],[Nom]]&amp;" "&amp;_12.Liste_données_uniques[[#This Row],[Prénom]]</f>
        <v>GLACE Brice</v>
      </c>
      <c r="H23"/>
      <c r="I23" s="107" t="s">
        <v>1153</v>
      </c>
      <c r="J23" s="108">
        <v>2</v>
      </c>
      <c r="K23"/>
      <c r="L23"/>
      <c r="M23"/>
    </row>
    <row r="24" spans="1:13">
      <c r="A24" s="5" t="s">
        <v>40</v>
      </c>
      <c r="B24" s="2" t="s">
        <v>39</v>
      </c>
      <c r="C24" s="45" t="s">
        <v>123</v>
      </c>
      <c r="D24" s="96"/>
      <c r="E24" s="44" t="str">
        <f>_12.Liste_données_uniques[[#This Row],[Nom]]&amp;" "&amp;_12.Liste_données_uniques[[#This Row],[Prénom]]</f>
        <v>GLACE Brice</v>
      </c>
      <c r="H24"/>
      <c r="I24" s="107" t="s">
        <v>1154</v>
      </c>
      <c r="J24" s="108">
        <v>1</v>
      </c>
      <c r="K24"/>
      <c r="L24"/>
      <c r="M24"/>
    </row>
    <row r="25" spans="1:13">
      <c r="A25" s="5" t="s">
        <v>62</v>
      </c>
      <c r="B25" s="2" t="s">
        <v>61</v>
      </c>
      <c r="C25" s="45" t="s">
        <v>100</v>
      </c>
      <c r="D25" s="96"/>
      <c r="E25" s="44" t="str">
        <f>_12.Liste_données_uniques[[#This Row],[Nom]]&amp;" "&amp;_12.Liste_données_uniques[[#This Row],[Prénom]]</f>
        <v>GREC Edmond</v>
      </c>
      <c r="H25"/>
      <c r="I25" s="107" t="s">
        <v>1155</v>
      </c>
      <c r="J25" s="108">
        <v>3</v>
      </c>
      <c r="K25"/>
    </row>
    <row r="26" spans="1:13">
      <c r="A26" s="5" t="s">
        <v>24</v>
      </c>
      <c r="B26" s="2" t="s">
        <v>23</v>
      </c>
      <c r="C26" s="45" t="s">
        <v>122</v>
      </c>
      <c r="D26" s="96"/>
      <c r="E26" s="44" t="str">
        <f>_12.Liste_données_uniques[[#This Row],[Nom]]&amp;" "&amp;_12.Liste_données_uniques[[#This Row],[Prénom]]</f>
        <v>HABA Bart</v>
      </c>
      <c r="H26"/>
      <c r="I26" s="107" t="s">
        <v>1156</v>
      </c>
      <c r="J26" s="108">
        <v>4</v>
      </c>
      <c r="K26"/>
    </row>
    <row r="27" spans="1:13">
      <c r="A27" s="5" t="s">
        <v>24</v>
      </c>
      <c r="B27" s="2" t="s">
        <v>23</v>
      </c>
      <c r="C27" s="45" t="s">
        <v>91</v>
      </c>
      <c r="D27" s="96"/>
      <c r="E27" s="44" t="str">
        <f>_12.Liste_données_uniques[[#This Row],[Nom]]&amp;" "&amp;_12.Liste_données_uniques[[#This Row],[Prénom]]</f>
        <v>HABA Bart</v>
      </c>
      <c r="H27"/>
      <c r="I27" s="107" t="s">
        <v>1157</v>
      </c>
      <c r="J27" s="108">
        <v>6</v>
      </c>
      <c r="K27"/>
    </row>
    <row r="28" spans="1:13">
      <c r="A28" s="5" t="s">
        <v>24</v>
      </c>
      <c r="B28" s="2" t="s">
        <v>23</v>
      </c>
      <c r="C28" s="45" t="s">
        <v>117</v>
      </c>
      <c r="D28" s="96"/>
      <c r="E28" s="44" t="str">
        <f>_12.Liste_données_uniques[[#This Row],[Nom]]&amp;" "&amp;_12.Liste_données_uniques[[#This Row],[Prénom]]</f>
        <v>HABA Bart</v>
      </c>
      <c r="H28"/>
      <c r="I28" s="107" t="s">
        <v>1158</v>
      </c>
      <c r="J28" s="108">
        <v>3</v>
      </c>
      <c r="K28"/>
    </row>
    <row r="29" spans="1:13">
      <c r="A29" s="5" t="s">
        <v>36</v>
      </c>
      <c r="B29" s="2" t="s">
        <v>35</v>
      </c>
      <c r="C29" s="45" t="s">
        <v>128</v>
      </c>
      <c r="D29" s="96"/>
      <c r="E29" s="44" t="str">
        <f>_12.Liste_données_uniques[[#This Row],[Nom]]&amp;" "&amp;_12.Liste_données_uniques[[#This Row],[Prénom]]</f>
        <v>HO Bob</v>
      </c>
      <c r="H29"/>
      <c r="I29" s="107" t="s">
        <v>1159</v>
      </c>
      <c r="J29" s="108">
        <v>1</v>
      </c>
      <c r="K29"/>
    </row>
    <row r="30" spans="1:13">
      <c r="A30" s="5" t="s">
        <v>36</v>
      </c>
      <c r="B30" s="2" t="s">
        <v>35</v>
      </c>
      <c r="C30" s="45" t="s">
        <v>121</v>
      </c>
      <c r="D30" s="96"/>
      <c r="E30" s="44" t="str">
        <f>_12.Liste_données_uniques[[#This Row],[Nom]]&amp;" "&amp;_12.Liste_données_uniques[[#This Row],[Prénom]]</f>
        <v>HO Bob</v>
      </c>
      <c r="H30"/>
      <c r="I30" s="107" t="s">
        <v>1160</v>
      </c>
      <c r="J30" s="108">
        <v>1</v>
      </c>
      <c r="K30"/>
    </row>
    <row r="31" spans="1:13">
      <c r="A31" s="5" t="s">
        <v>36</v>
      </c>
      <c r="B31" s="2" t="s">
        <v>35</v>
      </c>
      <c r="C31" s="45" t="s">
        <v>102</v>
      </c>
      <c r="D31" s="96"/>
      <c r="E31" s="44" t="str">
        <f>_12.Liste_données_uniques[[#This Row],[Nom]]&amp;" "&amp;_12.Liste_données_uniques[[#This Row],[Prénom]]</f>
        <v>HO Bob</v>
      </c>
      <c r="H31"/>
      <c r="I31" s="107" t="s">
        <v>1161</v>
      </c>
      <c r="J31" s="108">
        <v>1</v>
      </c>
      <c r="K31"/>
    </row>
    <row r="32" spans="1:13">
      <c r="A32" s="5" t="s">
        <v>36</v>
      </c>
      <c r="B32" s="2" t="s">
        <v>35</v>
      </c>
      <c r="C32" s="45" t="s">
        <v>120</v>
      </c>
      <c r="D32" s="96"/>
      <c r="E32" s="44" t="str">
        <f>_12.Liste_données_uniques[[#This Row],[Nom]]&amp;" "&amp;_12.Liste_données_uniques[[#This Row],[Prénom]]</f>
        <v>HO Bob</v>
      </c>
      <c r="H32"/>
      <c r="I32" s="107" t="s">
        <v>1162</v>
      </c>
      <c r="J32" s="108">
        <v>1</v>
      </c>
    </row>
    <row r="33" spans="1:10">
      <c r="A33" s="5" t="s">
        <v>82</v>
      </c>
      <c r="B33" s="2" t="s">
        <v>58</v>
      </c>
      <c r="C33" s="45" t="s">
        <v>129</v>
      </c>
      <c r="D33" s="96"/>
      <c r="E33" s="44" t="str">
        <f>_12.Liste_données_uniques[[#This Row],[Nom]]&amp;" "&amp;_12.Liste_données_uniques[[#This Row],[Prénom]]</f>
        <v>OCHOCOLA Douglas</v>
      </c>
      <c r="H33"/>
      <c r="I33" s="107" t="s">
        <v>1163</v>
      </c>
      <c r="J33" s="108">
        <v>39</v>
      </c>
    </row>
    <row r="34" spans="1:10">
      <c r="A34" s="5" t="s">
        <v>82</v>
      </c>
      <c r="B34" s="2" t="s">
        <v>58</v>
      </c>
      <c r="C34" s="45" t="s">
        <v>130</v>
      </c>
      <c r="D34" s="96"/>
      <c r="E34" s="44" t="str">
        <f>_12.Liste_données_uniques[[#This Row],[Nom]]&amp;" "&amp;_12.Liste_données_uniques[[#This Row],[Prénom]]</f>
        <v>OCHOCOLA Douglas</v>
      </c>
      <c r="H34"/>
      <c r="I34"/>
    </row>
    <row r="35" spans="1:10">
      <c r="A35" s="5" t="s">
        <v>82</v>
      </c>
      <c r="B35" s="2" t="s">
        <v>58</v>
      </c>
      <c r="C35" s="45" t="s">
        <v>131</v>
      </c>
      <c r="D35" s="96"/>
      <c r="E35" s="44" t="str">
        <f>_12.Liste_données_uniques[[#This Row],[Nom]]&amp;" "&amp;_12.Liste_données_uniques[[#This Row],[Prénom]]</f>
        <v>OCHOCOLA Douglas</v>
      </c>
      <c r="H35"/>
      <c r="I35"/>
    </row>
    <row r="36" spans="1:10">
      <c r="A36" s="5" t="s">
        <v>82</v>
      </c>
      <c r="B36" s="2" t="s">
        <v>58</v>
      </c>
      <c r="C36" s="45" t="s">
        <v>112</v>
      </c>
      <c r="D36" s="96"/>
      <c r="E36" s="44" t="str">
        <f>_12.Liste_données_uniques[[#This Row],[Nom]]&amp;" "&amp;_12.Liste_données_uniques[[#This Row],[Prénom]]</f>
        <v>OCHOCOLA Douglas</v>
      </c>
      <c r="H36"/>
      <c r="I36"/>
    </row>
    <row r="37" spans="1:10">
      <c r="A37" s="5" t="s">
        <v>82</v>
      </c>
      <c r="B37" s="2" t="s">
        <v>58</v>
      </c>
      <c r="C37" s="45" t="s">
        <v>84</v>
      </c>
      <c r="D37" s="96"/>
      <c r="E37" s="44" t="str">
        <f>_12.Liste_données_uniques[[#This Row],[Nom]]&amp;" "&amp;_12.Liste_données_uniques[[#This Row],[Prénom]]</f>
        <v>OCHOCOLA Douglas</v>
      </c>
      <c r="H37"/>
      <c r="I37"/>
    </row>
    <row r="38" spans="1:10">
      <c r="A38" s="5" t="s">
        <v>82</v>
      </c>
      <c r="B38" s="2" t="s">
        <v>58</v>
      </c>
      <c r="C38" s="45" t="s">
        <v>113</v>
      </c>
      <c r="D38" s="96"/>
      <c r="E38" s="44" t="str">
        <f>_12.Liste_données_uniques[[#This Row],[Nom]]&amp;" "&amp;_12.Liste_données_uniques[[#This Row],[Prénom]]</f>
        <v>OCHOCOLA Douglas</v>
      </c>
      <c r="H38"/>
      <c r="I38"/>
    </row>
    <row r="39" spans="1:10">
      <c r="A39" s="5" t="s">
        <v>44</v>
      </c>
      <c r="B39" s="2" t="s">
        <v>43</v>
      </c>
      <c r="C39" s="45" t="s">
        <v>118</v>
      </c>
      <c r="D39" s="96"/>
      <c r="E39" s="44" t="str">
        <f>_12.Liste_données_uniques[[#This Row],[Nom]]&amp;" "&amp;_12.Liste_données_uniques[[#This Row],[Prénom]]</f>
        <v>OTTOFRAISE Charles</v>
      </c>
    </row>
    <row r="40" spans="1:10">
      <c r="A40" s="5" t="s">
        <v>44</v>
      </c>
      <c r="B40" s="2" t="s">
        <v>43</v>
      </c>
      <c r="C40" s="45" t="s">
        <v>114</v>
      </c>
      <c r="D40" s="96"/>
      <c r="E40" s="44" t="str">
        <f>_12.Liste_données_uniques[[#This Row],[Nom]]&amp;" "&amp;_12.Liste_données_uniques[[#This Row],[Prénom]]</f>
        <v>OTTOFRAISE Charles</v>
      </c>
    </row>
    <row r="41" spans="1:10">
      <c r="A41" s="5" t="s">
        <v>44</v>
      </c>
      <c r="B41" s="2" t="s">
        <v>43</v>
      </c>
      <c r="C41" s="45" t="s">
        <v>114</v>
      </c>
      <c r="D41" s="96"/>
      <c r="E41" s="44" t="str">
        <f>_12.Liste_données_uniques[[#This Row],[Nom]]&amp;" "&amp;_12.Liste_données_uniques[[#This Row],[Prénom]]</f>
        <v>OTTOFRAISE Charles</v>
      </c>
    </row>
    <row r="42" spans="1:10">
      <c r="A42" s="5" t="s">
        <v>20</v>
      </c>
      <c r="B42" s="2" t="s">
        <v>19</v>
      </c>
      <c r="C42" s="45" t="s">
        <v>101</v>
      </c>
      <c r="D42" s="96"/>
      <c r="E42" s="44" t="str">
        <f>_12.Liste_données_uniques[[#This Row],[Nom]]&amp;" "&amp;_12.Liste_données_uniques[[#This Row],[Prénom]]</f>
        <v>POLAIRE Aurore</v>
      </c>
    </row>
    <row r="43" spans="1:10">
      <c r="A43" s="5" t="s">
        <v>60</v>
      </c>
      <c r="B43" s="2" t="s">
        <v>59</v>
      </c>
      <c r="C43" s="45" t="s">
        <v>97</v>
      </c>
      <c r="D43" s="96"/>
      <c r="E43" s="44" t="str">
        <f>_12.Liste_données_uniques[[#This Row],[Nom]]&amp;" "&amp;_12.Liste_données_uniques[[#This Row],[Prénom]]</f>
        <v>SILLA Eddy</v>
      </c>
    </row>
    <row r="44" spans="1:10">
      <c r="A44" s="5" t="s">
        <v>47</v>
      </c>
      <c r="B44" s="2" t="s">
        <v>46</v>
      </c>
      <c r="C44" s="45" t="s">
        <v>90</v>
      </c>
      <c r="D44" s="96"/>
      <c r="E44" s="44" t="str">
        <f>_12.Liste_données_uniques[[#This Row],[Nom]]&amp;" "&amp;_12.Liste_données_uniques[[#This Row],[Prénom]]</f>
        <v>STÉROLE Colette</v>
      </c>
    </row>
    <row r="45" spans="1:10">
      <c r="A45" s="5" t="s">
        <v>18</v>
      </c>
      <c r="B45" s="2" t="s">
        <v>17</v>
      </c>
      <c r="C45" s="45" t="s">
        <v>86</v>
      </c>
      <c r="D45" s="96"/>
      <c r="E45" s="44" t="str">
        <f>_12.Liste_données_uniques[[#This Row],[Nom]]&amp;" "&amp;_12.Liste_données_uniques[[#This Row],[Prénom]]</f>
        <v>VERSAIRE Annie</v>
      </c>
    </row>
  </sheetData>
  <pageMargins left="0.7" right="0.7" top="0.75" bottom="0.75" header="0.3" footer="0.3"/>
  <pageSetup paperSize="9" orientation="portrait" horizontalDpi="90" verticalDpi="90" r:id="rId2"/>
  <drawing r:id="rId3"/>
  <tableParts count="1">
    <tablePart r:id="rId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B88EB-4855-094D-BB62-46252DEF6763}">
  <sheetPr>
    <tabColor theme="5" tint="0.79998168889431442"/>
  </sheetPr>
  <dimension ref="A1:J50"/>
  <sheetViews>
    <sheetView showGridLines="0" workbookViewId="0">
      <pane ySplit="13" topLeftCell="A17" activePane="bottomLeft" state="frozen"/>
      <selection activeCell="D7" sqref="D7"/>
      <selection pane="bottomLeft" activeCell="D48" sqref="D48"/>
    </sheetView>
  </sheetViews>
  <sheetFormatPr baseColWidth="10" defaultColWidth="12.109375" defaultRowHeight="14.4"/>
  <cols>
    <col min="1" max="2" width="15.77734375" style="1" customWidth="1"/>
    <col min="3" max="3" width="25.77734375" style="1" customWidth="1"/>
    <col min="4" max="4" width="43.77734375" style="1" customWidth="1"/>
    <col min="5" max="5" width="20.77734375" style="1" customWidth="1"/>
    <col min="6" max="6" width="43.77734375" style="1" customWidth="1"/>
    <col min="7" max="10" width="20.77734375" style="1" customWidth="1"/>
    <col min="11" max="16384" width="12.109375" style="1"/>
  </cols>
  <sheetData>
    <row r="1" spans="1:10">
      <c r="A1" s="33" t="s">
        <v>132</v>
      </c>
      <c r="B1" s="33"/>
      <c r="C1" s="33"/>
      <c r="D1" s="33"/>
      <c r="E1" s="33"/>
      <c r="F1" s="33"/>
      <c r="G1" s="38"/>
    </row>
    <row r="2" spans="1:10">
      <c r="A2" s="35" t="s">
        <v>270</v>
      </c>
      <c r="B2" s="35"/>
      <c r="C2" s="35"/>
      <c r="D2" s="35"/>
      <c r="E2" s="35"/>
      <c r="F2" s="35"/>
      <c r="G2" s="37"/>
    </row>
    <row r="3" spans="1:10">
      <c r="A3" s="35" t="s">
        <v>770</v>
      </c>
      <c r="B3" s="35"/>
      <c r="C3" s="35"/>
      <c r="D3" s="35"/>
      <c r="E3" s="35"/>
      <c r="F3" s="35"/>
      <c r="G3" s="37"/>
    </row>
    <row r="4" spans="1:10">
      <c r="A4" s="32" t="s">
        <v>271</v>
      </c>
      <c r="B4" s="32"/>
      <c r="C4" s="32"/>
      <c r="D4" s="32"/>
      <c r="E4" s="32"/>
      <c r="F4" s="32"/>
      <c r="G4" s="37"/>
    </row>
    <row r="5" spans="1:10" s="26" customFormat="1">
      <c r="A5" s="32" t="s">
        <v>272</v>
      </c>
      <c r="B5" s="32"/>
      <c r="C5" s="32"/>
      <c r="D5" s="32"/>
      <c r="E5" s="32"/>
      <c r="F5" s="32"/>
      <c r="G5" s="32"/>
    </row>
    <row r="6" spans="1:10" s="26" customFormat="1">
      <c r="A6" s="32" t="s">
        <v>273</v>
      </c>
      <c r="B6" s="32"/>
      <c r="C6" s="32"/>
      <c r="D6" s="32"/>
      <c r="E6" s="32"/>
      <c r="F6" s="32"/>
      <c r="G6" s="32"/>
    </row>
    <row r="7" spans="1:10" s="26" customFormat="1">
      <c r="A7" s="32" t="s">
        <v>277</v>
      </c>
      <c r="B7" s="32"/>
      <c r="C7" s="32"/>
      <c r="D7" s="32"/>
      <c r="E7" s="32"/>
      <c r="F7" s="32"/>
      <c r="G7" s="32"/>
    </row>
    <row r="8" spans="1:10" s="26" customFormat="1">
      <c r="B8" s="1"/>
      <c r="C8" s="1"/>
      <c r="D8" s="1"/>
      <c r="E8" s="1"/>
      <c r="F8" s="1"/>
      <c r="G8" s="1"/>
      <c r="H8" s="1"/>
      <c r="I8" s="1"/>
      <c r="J8" s="1"/>
    </row>
    <row r="9" spans="1:10" ht="31.95" customHeight="1">
      <c r="C9" s="26"/>
      <c r="D9" s="15" t="s">
        <v>276</v>
      </c>
      <c r="E9" s="15" t="s">
        <v>275</v>
      </c>
      <c r="G9" s="26"/>
      <c r="H9" s="26"/>
    </row>
    <row r="10" spans="1:10" ht="31.95" customHeight="1">
      <c r="C10" s="39" t="s">
        <v>274</v>
      </c>
      <c r="D10" s="65"/>
      <c r="E10" s="65"/>
      <c r="G10" s="26"/>
      <c r="H10" s="26"/>
    </row>
    <row r="11" spans="1:10">
      <c r="C11" s="40" t="s">
        <v>81</v>
      </c>
      <c r="D11" s="66">
        <f>COUNTA(_xlfn.UNIQUE(Emails[Correction
JOINDRE.TEXTE]))</f>
        <v>27</v>
      </c>
      <c r="E11" s="41">
        <f>COUNTA(Emails[Correction
JOINDRE.TEXTE])-D11</f>
        <v>10</v>
      </c>
      <c r="G11" s="26"/>
      <c r="H11" s="26"/>
    </row>
    <row r="13" spans="1:10" ht="28.8">
      <c r="A13" s="1" t="s">
        <v>1</v>
      </c>
      <c r="B13" s="1" t="s">
        <v>2</v>
      </c>
      <c r="C13" s="1" t="s">
        <v>3</v>
      </c>
      <c r="D13" s="1" t="s">
        <v>267</v>
      </c>
      <c r="E13" s="1" t="s">
        <v>4</v>
      </c>
      <c r="F13" s="27" t="s">
        <v>268</v>
      </c>
      <c r="G13" s="27" t="s">
        <v>269</v>
      </c>
    </row>
    <row r="14" spans="1:10">
      <c r="A14" s="5" t="s">
        <v>34</v>
      </c>
      <c r="B14" s="2" t="s">
        <v>33</v>
      </c>
      <c r="C14" s="45" t="s">
        <v>83</v>
      </c>
      <c r="D14" s="6" t="str">
        <f>Emails[[#This Row],[Nom]]&amp;" - "&amp;Emails[[#This Row],[Prénom]]&amp;" - "&amp;Emails[[#This Row],[Mail]]</f>
        <v>ADÉSSIN - Blanche - b.adessin@gmail.com</v>
      </c>
      <c r="E14" s="46" t="str">
        <f>IF(COUNTIF(Emails[JOINDRE.TEXTE],Emails[[#This Row],[JOINDRE.TEXTE]])=1,"Valeur unique","Doublon")</f>
        <v>Doublon</v>
      </c>
      <c r="F14" s="44" t="str">
        <f>_xlfn.TEXTJOIN(" - ",TRUE,Emails[[#This Row],[Nom]:[Mail]])</f>
        <v>ADÉSSIN - Blanche - b.adessin@gmail.com</v>
      </c>
      <c r="G14" s="47" t="str">
        <f>IF(Emails[[#This Row],[Nom]]="","",IF(COUNTIFS(Emails[Correction
JOINDRE.TEXTE],Emails[[#This Row],[Correction
JOINDRE.TEXTE]])=1,"Valeur unique","Doublon"))</f>
        <v>Doublon</v>
      </c>
    </row>
    <row r="15" spans="1:10">
      <c r="A15" s="5" t="s">
        <v>34</v>
      </c>
      <c r="B15" s="2" t="s">
        <v>33</v>
      </c>
      <c r="C15" s="45" t="s">
        <v>83</v>
      </c>
      <c r="D15" s="6" t="str">
        <f>Emails[[#This Row],[Nom]]&amp;" - "&amp;Emails[[#This Row],[Prénom]]&amp;" - "&amp;Emails[[#This Row],[Mail]]</f>
        <v>ADÉSSIN - Blanche - b.adessin@gmail.com</v>
      </c>
      <c r="E15" s="46" t="str">
        <f>IF(COUNTIF(Emails[JOINDRE.TEXTE],Emails[[#This Row],[JOINDRE.TEXTE]])=1,"Valeur unique","Doublon")</f>
        <v>Doublon</v>
      </c>
      <c r="F15" s="44" t="str">
        <f>_xlfn.TEXTJOIN(" - ",TRUE,Emails[[#This Row],[Nom]:[Mail]])</f>
        <v>ADÉSSIN - Blanche - b.adessin@gmail.com</v>
      </c>
      <c r="G15" s="47" t="str">
        <f>IF(Emails[[#This Row],[Nom]]="","",IF(COUNTIFS(Emails[Correction
JOINDRE.TEXTE],Emails[[#This Row],[Correction
JOINDRE.TEXTE]])=1,"Valeur unique","Doublon"))</f>
        <v>Doublon</v>
      </c>
    </row>
    <row r="16" spans="1:10">
      <c r="A16" s="5" t="s">
        <v>34</v>
      </c>
      <c r="B16" s="2" t="s">
        <v>33</v>
      </c>
      <c r="C16" s="45" t="s">
        <v>83</v>
      </c>
      <c r="D16" s="6" t="str">
        <f>Emails[[#This Row],[Nom]]&amp;" - "&amp;Emails[[#This Row],[Prénom]]&amp;" - "&amp;Emails[[#This Row],[Mail]]</f>
        <v>ADÉSSIN - Blanche - b.adessin@gmail.com</v>
      </c>
      <c r="E16" s="46" t="str">
        <f>IF(COUNTIF(Emails[JOINDRE.TEXTE],Emails[[#This Row],[JOINDRE.TEXTE]])=1,"Valeur unique","Doublon")</f>
        <v>Doublon</v>
      </c>
      <c r="F16" s="44" t="str">
        <f>_xlfn.TEXTJOIN(" - ",TRUE,Emails[[#This Row],[Nom]:[Mail]])</f>
        <v>ADÉSSIN - Blanche - b.adessin@gmail.com</v>
      </c>
      <c r="G16" s="47" t="str">
        <f>IF(Emails[[#This Row],[Nom]]="","",IF(COUNTIFS(Emails[Correction
JOINDRE.TEXTE],Emails[[#This Row],[Correction
JOINDRE.TEXTE]])=1,"Valeur unique","Doublon"))</f>
        <v>Doublon</v>
      </c>
    </row>
    <row r="17" spans="1:7">
      <c r="A17" s="5" t="s">
        <v>82</v>
      </c>
      <c r="B17" s="2" t="s">
        <v>58</v>
      </c>
      <c r="C17" s="45" t="s">
        <v>84</v>
      </c>
      <c r="D17" s="6" t="str">
        <f>Emails[[#This Row],[Nom]]&amp;" - "&amp;Emails[[#This Row],[Prénom]]&amp;" - "&amp;Emails[[#This Row],[Mail]]</f>
        <v>OCHOCOLA - Douglas - d.ochocola@gmail.com</v>
      </c>
      <c r="E17" s="46" t="str">
        <f>IF(COUNTIF(Emails[JOINDRE.TEXTE],Emails[[#This Row],[JOINDRE.TEXTE]])=1,"Valeur unique","Doublon")</f>
        <v>Doublon</v>
      </c>
      <c r="F17" s="44" t="str">
        <f>_xlfn.TEXTJOIN(" - ",TRUE,Emails[[#This Row],[Nom]:[Mail]])</f>
        <v>OCHOCOLA - Douglas - d.ochocola@gmail.com</v>
      </c>
      <c r="G17" s="47" t="str">
        <f>IF(Emails[[#This Row],[Nom]]="","",IF(COUNTIFS(Emails[Correction
JOINDRE.TEXTE],Emails[[#This Row],[Correction
JOINDRE.TEXTE]])=1,"Valeur unique","Doublon"))</f>
        <v>Doublon</v>
      </c>
    </row>
    <row r="18" spans="1:7">
      <c r="A18" s="5" t="s">
        <v>82</v>
      </c>
      <c r="B18" s="2" t="s">
        <v>58</v>
      </c>
      <c r="C18" s="45" t="s">
        <v>84</v>
      </c>
      <c r="D18" s="6" t="str">
        <f>Emails[[#This Row],[Nom]]&amp;" - "&amp;Emails[[#This Row],[Prénom]]&amp;" - "&amp;Emails[[#This Row],[Mail]]</f>
        <v>OCHOCOLA - Douglas - d.ochocola@gmail.com</v>
      </c>
      <c r="E18" s="46" t="str">
        <f>IF(COUNTIF(Emails[JOINDRE.TEXTE],Emails[[#This Row],[JOINDRE.TEXTE]])=1,"Valeur unique","Doublon")</f>
        <v>Doublon</v>
      </c>
      <c r="F18" s="44" t="str">
        <f>_xlfn.TEXTJOIN(" - ",TRUE,Emails[[#This Row],[Nom]:[Mail]])</f>
        <v>OCHOCOLA - Douglas - d.ochocola@gmail.com</v>
      </c>
      <c r="G18" s="47" t="str">
        <f>IF(Emails[[#This Row],[Nom]]="","",IF(COUNTIFS(Emails[Correction
JOINDRE.TEXTE],Emails[[#This Row],[Correction
JOINDRE.TEXTE]])=1,"Valeur unique","Doublon"))</f>
        <v>Doublon</v>
      </c>
    </row>
    <row r="19" spans="1:7">
      <c r="A19" s="5" t="s">
        <v>82</v>
      </c>
      <c r="B19" s="2" t="s">
        <v>58</v>
      </c>
      <c r="C19" s="45" t="s">
        <v>84</v>
      </c>
      <c r="D19" s="6" t="str">
        <f>Emails[[#This Row],[Nom]]&amp;" - "&amp;Emails[[#This Row],[Prénom]]&amp;" - "&amp;Emails[[#This Row],[Mail]]</f>
        <v>OCHOCOLA - Douglas - d.ochocola@gmail.com</v>
      </c>
      <c r="E19" s="46" t="str">
        <f>IF(COUNTIF(Emails[JOINDRE.TEXTE],Emails[[#This Row],[JOINDRE.TEXTE]])=1,"Valeur unique","Doublon")</f>
        <v>Doublon</v>
      </c>
      <c r="F19" s="44" t="str">
        <f>_xlfn.TEXTJOIN(" - ",TRUE,Emails[[#This Row],[Nom]:[Mail]])</f>
        <v>OCHOCOLA - Douglas - d.ochocola@gmail.com</v>
      </c>
      <c r="G19" s="47" t="str">
        <f>IF(Emails[[#This Row],[Nom]]="","",IF(COUNTIFS(Emails[Correction
JOINDRE.TEXTE],Emails[[#This Row],[Correction
JOINDRE.TEXTE]])=1,"Valeur unique","Doublon"))</f>
        <v>Doublon</v>
      </c>
    </row>
    <row r="20" spans="1:7">
      <c r="A20" s="5" t="s">
        <v>10</v>
      </c>
      <c r="B20" s="2" t="s">
        <v>9</v>
      </c>
      <c r="C20" s="45" t="s">
        <v>85</v>
      </c>
      <c r="D20" s="6" t="str">
        <f>Emails[[#This Row],[Nom]]&amp;" - "&amp;Emails[[#This Row],[Prénom]]&amp;" - "&amp;Emails[[#This Row],[Mail]]</f>
        <v>ICHON - Albert - a.ichon@gmail.com</v>
      </c>
      <c r="E20" s="46" t="str">
        <f>IF(COUNTIF(Emails[JOINDRE.TEXTE],Emails[[#This Row],[JOINDRE.TEXTE]])=1,"Valeur unique","Doublon")</f>
        <v>Valeur unique</v>
      </c>
      <c r="F20" s="44" t="str">
        <f>_xlfn.TEXTJOIN(" - ",TRUE,Emails[[#This Row],[Nom]:[Mail]])</f>
        <v>ICHON - Albert - a.ichon@gmail.com</v>
      </c>
      <c r="G20" s="47" t="str">
        <f>IF(Emails[[#This Row],[Nom]]="","",IF(COUNTIFS(Emails[Correction
JOINDRE.TEXTE],Emails[[#This Row],[Correction
JOINDRE.TEXTE]])=1,"Valeur unique","Doublon"))</f>
        <v>Valeur unique</v>
      </c>
    </row>
    <row r="21" spans="1:7">
      <c r="A21" s="5" t="s">
        <v>18</v>
      </c>
      <c r="B21" s="2" t="s">
        <v>17</v>
      </c>
      <c r="C21" s="45" t="s">
        <v>86</v>
      </c>
      <c r="D21" s="6" t="str">
        <f>Emails[[#This Row],[Nom]]&amp;" - "&amp;Emails[[#This Row],[Prénom]]&amp;" - "&amp;Emails[[#This Row],[Mail]]</f>
        <v>VERSAIRE - Annie - a.versaire@gmail.com</v>
      </c>
      <c r="E21" s="46" t="str">
        <f>IF(COUNTIF(Emails[JOINDRE.TEXTE],Emails[[#This Row],[JOINDRE.TEXTE]])=1,"Valeur unique","Doublon")</f>
        <v>Valeur unique</v>
      </c>
      <c r="F21" s="44" t="str">
        <f>_xlfn.TEXTJOIN(" - ",TRUE,Emails[[#This Row],[Nom]:[Mail]])</f>
        <v>VERSAIRE - Annie - a.versaire@gmail.com</v>
      </c>
      <c r="G21" s="47" t="str">
        <f>IF(Emails[[#This Row],[Nom]]="","",IF(COUNTIFS(Emails[Correction
JOINDRE.TEXTE],Emails[[#This Row],[Correction
JOINDRE.TEXTE]])=1,"Valeur unique","Doublon"))</f>
        <v>Valeur unique</v>
      </c>
    </row>
    <row r="22" spans="1:7">
      <c r="A22" s="5" t="s">
        <v>57</v>
      </c>
      <c r="B22" s="2" t="s">
        <v>56</v>
      </c>
      <c r="C22" s="45" t="s">
        <v>87</v>
      </c>
      <c r="D22" s="6" t="str">
        <f>Emails[[#This Row],[Nom]]&amp;" - "&amp;Emails[[#This Row],[Prénom]]&amp;" - "&amp;Emails[[#This Row],[Mail]]</f>
        <v>CHON - Denis - d.chon@gmail.com</v>
      </c>
      <c r="E22" s="46" t="str">
        <f>IF(COUNTIF(Emails[JOINDRE.TEXTE],Emails[[#This Row],[JOINDRE.TEXTE]])=1,"Valeur unique","Doublon")</f>
        <v>Valeur unique</v>
      </c>
      <c r="F22" s="44" t="str">
        <f>_xlfn.TEXTJOIN(" - ",TRUE,Emails[[#This Row],[Nom]:[Mail]])</f>
        <v>CHON - Denis - d.chon@gmail.com</v>
      </c>
      <c r="G22" s="47" t="str">
        <f>IF(Emails[[#This Row],[Nom]]="","",IF(COUNTIFS(Emails[Correction
JOINDRE.TEXTE],Emails[[#This Row],[Correction
JOINDRE.TEXTE]])=1,"Valeur unique","Doublon"))</f>
        <v>Valeur unique</v>
      </c>
    </row>
    <row r="23" spans="1:7">
      <c r="A23" s="5" t="s">
        <v>36</v>
      </c>
      <c r="B23" s="2" t="s">
        <v>35</v>
      </c>
      <c r="C23" s="45" t="s">
        <v>102</v>
      </c>
      <c r="D23" s="6" t="str">
        <f>Emails[[#This Row],[Nom]]&amp;" - "&amp;Emails[[#This Row],[Prénom]]&amp;" - "&amp;Emails[[#This Row],[Mail]]</f>
        <v>HO - Bob - b.ho@gmail.com</v>
      </c>
      <c r="E23" s="46" t="str">
        <f>IF(COUNTIF(Emails[JOINDRE.TEXTE],Emails[[#This Row],[JOINDRE.TEXTE]])=1,"Valeur unique","Doublon")</f>
        <v>Doublon</v>
      </c>
      <c r="F23" s="44" t="str">
        <f>_xlfn.TEXTJOIN(" - ",TRUE,Emails[[#This Row],[Nom]:[Mail]])</f>
        <v>HO - Bob - b.ho@gmail.com</v>
      </c>
      <c r="G23" s="47" t="str">
        <f>IF(Emails[[#This Row],[Nom]]="","",IF(COUNTIFS(Emails[Correction
JOINDRE.TEXTE],Emails[[#This Row],[Correction
JOINDRE.TEXTE]])=1,"Valeur unique","Doublon"))</f>
        <v>Doublon</v>
      </c>
    </row>
    <row r="24" spans="1:7">
      <c r="A24" s="5" t="s">
        <v>55</v>
      </c>
      <c r="B24" s="2" t="s">
        <v>54</v>
      </c>
      <c r="C24" s="45" t="s">
        <v>89</v>
      </c>
      <c r="D24" s="6" t="str">
        <f>Emails[[#This Row],[Nom]]&amp;" - "&amp;Emails[[#This Row],[Prénom]]&amp;" - "&amp;Emails[[#This Row],[Mail]]</f>
        <v>CUMABITE - Danton - d.cumabite@gmail.com</v>
      </c>
      <c r="E24" s="46" t="str">
        <f>IF(COUNTIF(Emails[JOINDRE.TEXTE],Emails[[#This Row],[JOINDRE.TEXTE]])=1,"Valeur unique","Doublon")</f>
        <v>Valeur unique</v>
      </c>
      <c r="F24" s="44" t="str">
        <f>_xlfn.TEXTJOIN(" - ",TRUE,Emails[[#This Row],[Nom]:[Mail]])</f>
        <v>CUMABITE - Danton - d.cumabite@gmail.com</v>
      </c>
      <c r="G24" s="47" t="str">
        <f>IF(Emails[[#This Row],[Nom]]="","",IF(COUNTIFS(Emails[Correction
JOINDRE.TEXTE],Emails[[#This Row],[Correction
JOINDRE.TEXTE]])=1,"Valeur unique","Doublon"))</f>
        <v>Valeur unique</v>
      </c>
    </row>
    <row r="25" spans="1:7">
      <c r="A25" s="5" t="s">
        <v>115</v>
      </c>
      <c r="B25" s="2" t="s">
        <v>45</v>
      </c>
      <c r="C25" s="45" t="s">
        <v>116</v>
      </c>
      <c r="D25" s="6" t="str">
        <f>Emails[[#This Row],[Nom]]&amp;" - "&amp;Emails[[#This Row],[Prénom]]&amp;" - "&amp;Emails[[#This Row],[Mail]]</f>
        <v>DELUNE - Claire - c.delune@gmail.com</v>
      </c>
      <c r="E25" s="46" t="str">
        <f>IF(COUNTIF(Emails[JOINDRE.TEXTE],Emails[[#This Row],[JOINDRE.TEXTE]])=1,"Valeur unique","Doublon")</f>
        <v>Valeur unique</v>
      </c>
      <c r="F25" s="44" t="str">
        <f>_xlfn.TEXTJOIN(" - ",TRUE,Emails[[#This Row],[Nom]:[Mail]])</f>
        <v>DELUNE - Claire - c.delune@gmail.com</v>
      </c>
      <c r="G25" s="47" t="str">
        <f>IF(Emails[[#This Row],[Nom]]="","",IF(COUNTIFS(Emails[Correction
JOINDRE.TEXTE],Emails[[#This Row],[Correction
JOINDRE.TEXTE]])=1,"Valeur unique","Doublon"))</f>
        <v>Valeur unique</v>
      </c>
    </row>
    <row r="26" spans="1:7">
      <c r="A26" s="5" t="s">
        <v>47</v>
      </c>
      <c r="B26" s="2" t="s">
        <v>46</v>
      </c>
      <c r="C26" s="45" t="s">
        <v>90</v>
      </c>
      <c r="D26" s="6" t="str">
        <f>Emails[[#This Row],[Nom]]&amp;" - "&amp;Emails[[#This Row],[Prénom]]&amp;" - "&amp;Emails[[#This Row],[Mail]]</f>
        <v>STÉROLE - Colette - c.sterole@gmail.com</v>
      </c>
      <c r="E26" s="46" t="str">
        <f>IF(COUNTIF(Emails[JOINDRE.TEXTE],Emails[[#This Row],[JOINDRE.TEXTE]])=1,"Valeur unique","Doublon")</f>
        <v>Valeur unique</v>
      </c>
      <c r="F26" s="44" t="str">
        <f>_xlfn.TEXTJOIN(" - ",TRUE,Emails[[#This Row],[Nom]:[Mail]])</f>
        <v>STÉROLE - Colette - c.sterole@gmail.com</v>
      </c>
      <c r="G26" s="47" t="str">
        <f>IF(Emails[[#This Row],[Nom]]="","",IF(COUNTIFS(Emails[Correction
JOINDRE.TEXTE],Emails[[#This Row],[Correction
JOINDRE.TEXTE]])=1,"Valeur unique","Doublon"))</f>
        <v>Valeur unique</v>
      </c>
    </row>
    <row r="27" spans="1:7">
      <c r="A27" s="5" t="s">
        <v>24</v>
      </c>
      <c r="B27" s="2" t="s">
        <v>23</v>
      </c>
      <c r="C27" s="45" t="s">
        <v>91</v>
      </c>
      <c r="D27" s="6" t="str">
        <f>Emails[[#This Row],[Nom]]&amp;" - "&amp;Emails[[#This Row],[Prénom]]&amp;" - "&amp;Emails[[#This Row],[Mail]]</f>
        <v>HABA - Bart - b.haba@gmail.com</v>
      </c>
      <c r="E27" s="46" t="str">
        <f>IF(COUNTIF(Emails[JOINDRE.TEXTE],Emails[[#This Row],[JOINDRE.TEXTE]])=1,"Valeur unique","Doublon")</f>
        <v>Valeur unique</v>
      </c>
      <c r="F27" s="44" t="str">
        <f>_xlfn.TEXTJOIN(" - ",TRUE,Emails[[#This Row],[Nom]:[Mail]])</f>
        <v>HABA - Bart - b.haba@gmail.com</v>
      </c>
      <c r="G27" s="47" t="str">
        <f>IF(Emails[[#This Row],[Nom]]="","",IF(COUNTIFS(Emails[Correction
JOINDRE.TEXTE],Emails[[#This Row],[Correction
JOINDRE.TEXTE]])=1,"Valeur unique","Doublon"))</f>
        <v>Valeur unique</v>
      </c>
    </row>
    <row r="28" spans="1:7">
      <c r="A28" s="5" t="s">
        <v>36</v>
      </c>
      <c r="B28" s="2" t="s">
        <v>35</v>
      </c>
      <c r="C28" s="45" t="s">
        <v>102</v>
      </c>
      <c r="D28" s="6" t="str">
        <f>Emails[[#This Row],[Nom]]&amp;" - "&amp;Emails[[#This Row],[Prénom]]&amp;" - "&amp;Emails[[#This Row],[Mail]]</f>
        <v>HO - Bob - b.ho@gmail.com</v>
      </c>
      <c r="E28" s="46" t="str">
        <f>IF(COUNTIF(Emails[JOINDRE.TEXTE],Emails[[#This Row],[JOINDRE.TEXTE]])=1,"Valeur unique","Doublon")</f>
        <v>Doublon</v>
      </c>
      <c r="F28" s="44" t="str">
        <f>_xlfn.TEXTJOIN(" - ",TRUE,Emails[[#This Row],[Nom]:[Mail]])</f>
        <v>HO - Bob - b.ho@gmail.com</v>
      </c>
      <c r="G28" s="47" t="str">
        <f>IF(Emails[[#This Row],[Nom]]="","",IF(COUNTIFS(Emails[Correction
JOINDRE.TEXTE],Emails[[#This Row],[Correction
JOINDRE.TEXTE]])=1,"Valeur unique","Doublon"))</f>
        <v>Doublon</v>
      </c>
    </row>
    <row r="29" spans="1:7">
      <c r="A29" s="5" t="s">
        <v>38</v>
      </c>
      <c r="B29" s="2" t="s">
        <v>37</v>
      </c>
      <c r="C29" s="45" t="s">
        <v>92</v>
      </c>
      <c r="D29" s="6" t="str">
        <f>Emails[[#This Row],[Nom]]&amp;" - "&amp;Emails[[#This Row],[Prénom]]&amp;" - "&amp;Emails[[#This Row],[Mail]]</f>
        <v>KENALUNDI - Bowie - b.kenalundi@gmail.com</v>
      </c>
      <c r="E29" s="46" t="str">
        <f>IF(COUNTIF(Emails[JOINDRE.TEXTE],Emails[[#This Row],[JOINDRE.TEXTE]])=1,"Valeur unique","Doublon")</f>
        <v>Valeur unique</v>
      </c>
      <c r="F29" s="44" t="str">
        <f>_xlfn.TEXTJOIN(" - ",TRUE,Emails[[#This Row],[Nom]:[Mail]])</f>
        <v>KENALUNDI - Bowie - b.kenalundi@gmail.com</v>
      </c>
      <c r="G29" s="47" t="str">
        <f>IF(Emails[[#This Row],[Nom]]="","",IF(COUNTIFS(Emails[Correction
JOINDRE.TEXTE],Emails[[#This Row],[Correction
JOINDRE.TEXTE]])=1,"Valeur unique","Doublon"))</f>
        <v>Valeur unique</v>
      </c>
    </row>
    <row r="30" spans="1:7">
      <c r="A30" s="5" t="s">
        <v>16</v>
      </c>
      <c r="B30" s="2" t="s">
        <v>15</v>
      </c>
      <c r="C30" s="45" t="s">
        <v>93</v>
      </c>
      <c r="D30" s="6" t="str">
        <f>Emails[[#This Row],[Nom]]&amp;" - "&amp;Emails[[#This Row],[Prénom]]&amp;" - "&amp;Emails[[#This Row],[Mail]]</f>
        <v>NALINE - André - a.naline@gmail.com</v>
      </c>
      <c r="E30" s="46" t="str">
        <f>IF(COUNTIF(Emails[JOINDRE.TEXTE],Emails[[#This Row],[JOINDRE.TEXTE]])=1,"Valeur unique","Doublon")</f>
        <v>Valeur unique</v>
      </c>
      <c r="F30" s="44" t="str">
        <f>_xlfn.TEXTJOIN(" - ",TRUE,Emails[[#This Row],[Nom]:[Mail]])</f>
        <v>NALINE - André - a.naline@gmail.com</v>
      </c>
      <c r="G30" s="47" t="str">
        <f>IF(Emails[[#This Row],[Nom]]="","",IF(COUNTIFS(Emails[Correction
JOINDRE.TEXTE],Emails[[#This Row],[Correction
JOINDRE.TEXTE]])=1,"Valeur unique","Doublon"))</f>
        <v>Valeur unique</v>
      </c>
    </row>
    <row r="31" spans="1:7">
      <c r="A31" s="5" t="s">
        <v>44</v>
      </c>
      <c r="B31" s="2" t="s">
        <v>43</v>
      </c>
      <c r="C31" s="45" t="s">
        <v>95</v>
      </c>
      <c r="D31" s="6" t="str">
        <f>Emails[[#This Row],[Nom]]&amp;" - "&amp;Emails[[#This Row],[Prénom]]&amp;" - "&amp;Emails[[#This Row],[Mail]]</f>
        <v>OTTOFRAISE - Charles - c.ottofraise@gmail.com</v>
      </c>
      <c r="E31" s="46" t="str">
        <f>IF(COUNTIF(Emails[JOINDRE.TEXTE],Emails[[#This Row],[JOINDRE.TEXTE]])=1,"Valeur unique","Doublon")</f>
        <v>Doublon</v>
      </c>
      <c r="F31" s="44" t="str">
        <f>_xlfn.TEXTJOIN(" - ",TRUE,Emails[[#This Row],[Nom]:[Mail]])</f>
        <v>OTTOFRAISE - Charles - c.ottofraise@gmail.com</v>
      </c>
      <c r="G31" s="47" t="str">
        <f>IF(Emails[[#This Row],[Nom]]="","",IF(COUNTIFS(Emails[Correction
JOINDRE.TEXTE],Emails[[#This Row],[Correction
JOINDRE.TEXTE]])=1,"Valeur unique","Doublon"))</f>
        <v>Doublon</v>
      </c>
    </row>
    <row r="32" spans="1:7">
      <c r="A32" s="5" t="s">
        <v>49</v>
      </c>
      <c r="B32" s="2" t="s">
        <v>48</v>
      </c>
      <c r="C32" s="45" t="s">
        <v>94</v>
      </c>
      <c r="D32" s="6" t="str">
        <f>Emails[[#This Row],[Nom]]&amp;" - "&amp;Emails[[#This Row],[Prénom]]&amp;" - "&amp;Emails[[#This Row],[Mail]]</f>
        <v>HIQUE - Cyril - c.hique@gmail.com</v>
      </c>
      <c r="E32" s="46" t="str">
        <f>IF(COUNTIF(Emails[JOINDRE.TEXTE],Emails[[#This Row],[JOINDRE.TEXTE]])=1,"Valeur unique","Doublon")</f>
        <v>Valeur unique</v>
      </c>
      <c r="F32" s="44" t="str">
        <f>_xlfn.TEXTJOIN(" - ",TRUE,Emails[[#This Row],[Nom]:[Mail]])</f>
        <v>HIQUE - Cyril - c.hique@gmail.com</v>
      </c>
      <c r="G32" s="47" t="str">
        <f>IF(Emails[[#This Row],[Nom]]="","",IF(COUNTIFS(Emails[Correction
JOINDRE.TEXTE],Emails[[#This Row],[Correction
JOINDRE.TEXTE]])=1,"Valeur unique","Doublon"))</f>
        <v>Valeur unique</v>
      </c>
    </row>
    <row r="33" spans="1:7">
      <c r="A33" s="5" t="s">
        <v>44</v>
      </c>
      <c r="B33" s="2" t="s">
        <v>43</v>
      </c>
      <c r="C33" s="45" t="s">
        <v>95</v>
      </c>
      <c r="D33" s="6" t="str">
        <f>Emails[[#This Row],[Nom]]&amp;" - "&amp;Emails[[#This Row],[Prénom]]&amp;" - "&amp;Emails[[#This Row],[Mail]]</f>
        <v>OTTOFRAISE - Charles - c.ottofraise@gmail.com</v>
      </c>
      <c r="E33" s="46" t="str">
        <f>IF(COUNTIF(Emails[JOINDRE.TEXTE],Emails[[#This Row],[JOINDRE.TEXTE]])=1,"Valeur unique","Doublon")</f>
        <v>Doublon</v>
      </c>
      <c r="F33" s="44" t="str">
        <f>_xlfn.TEXTJOIN(" - ",TRUE,Emails[[#This Row],[Nom]:[Mail]])</f>
        <v>OTTOFRAISE - Charles - c.ottofraise@gmail.com</v>
      </c>
      <c r="G33" s="47" t="str">
        <f>IF(Emails[[#This Row],[Nom]]="","",IF(COUNTIFS(Emails[Correction
JOINDRE.TEXTE],Emails[[#This Row],[Correction
JOINDRE.TEXTE]])=1,"Valeur unique","Doublon"))</f>
        <v>Doublon</v>
      </c>
    </row>
    <row r="34" spans="1:7">
      <c r="A34" s="5" t="s">
        <v>40</v>
      </c>
      <c r="B34" s="2" t="s">
        <v>39</v>
      </c>
      <c r="C34" s="45" t="s">
        <v>96</v>
      </c>
      <c r="D34" s="6" t="str">
        <f>Emails[[#This Row],[Nom]]&amp;" - "&amp;Emails[[#This Row],[Prénom]]&amp;" - "&amp;Emails[[#This Row],[Mail]]</f>
        <v>GLACE - Brice - b.glace@gmail.com</v>
      </c>
      <c r="E34" s="46" t="str">
        <f>IF(COUNTIF(Emails[JOINDRE.TEXTE],Emails[[#This Row],[JOINDRE.TEXTE]])=1,"Valeur unique","Doublon")</f>
        <v>Valeur unique</v>
      </c>
      <c r="F34" s="44" t="str">
        <f>_xlfn.TEXTJOIN(" - ",TRUE,Emails[[#This Row],[Nom]:[Mail]])</f>
        <v>GLACE - Brice - b.glace@gmail.com</v>
      </c>
      <c r="G34" s="47" t="str">
        <f>IF(Emails[[#This Row],[Nom]]="","",IF(COUNTIFS(Emails[Correction
JOINDRE.TEXTE],Emails[[#This Row],[Correction
JOINDRE.TEXTE]])=1,"Valeur unique","Doublon"))</f>
        <v>Valeur unique</v>
      </c>
    </row>
    <row r="35" spans="1:7">
      <c r="A35" s="5" t="s">
        <v>44</v>
      </c>
      <c r="B35" s="2" t="s">
        <v>43</v>
      </c>
      <c r="C35" s="45" t="s">
        <v>95</v>
      </c>
      <c r="D35" s="6" t="str">
        <f>Emails[[#This Row],[Nom]]&amp;" - "&amp;Emails[[#This Row],[Prénom]]&amp;" - "&amp;Emails[[#This Row],[Mail]]</f>
        <v>OTTOFRAISE - Charles - c.ottofraise@gmail.com</v>
      </c>
      <c r="E35" s="46" t="str">
        <f>IF(COUNTIF(Emails[JOINDRE.TEXTE],Emails[[#This Row],[JOINDRE.TEXTE]])=1,"Valeur unique","Doublon")</f>
        <v>Doublon</v>
      </c>
      <c r="F35" s="44" t="str">
        <f>_xlfn.TEXTJOIN(" - ",TRUE,Emails[[#This Row],[Nom]:[Mail]])</f>
        <v>OTTOFRAISE - Charles - c.ottofraise@gmail.com</v>
      </c>
      <c r="G35" s="47" t="str">
        <f>IF(Emails[[#This Row],[Nom]]="","",IF(COUNTIFS(Emails[Correction
JOINDRE.TEXTE],Emails[[#This Row],[Correction
JOINDRE.TEXTE]])=1,"Valeur unique","Doublon"))</f>
        <v>Doublon</v>
      </c>
    </row>
    <row r="36" spans="1:7">
      <c r="A36" s="5" t="s">
        <v>60</v>
      </c>
      <c r="B36" s="2" t="s">
        <v>59</v>
      </c>
      <c r="C36" s="45" t="s">
        <v>97</v>
      </c>
      <c r="D36" s="6" t="str">
        <f>Emails[[#This Row],[Nom]]&amp;" - "&amp;Emails[[#This Row],[Prénom]]&amp;" - "&amp;Emails[[#This Row],[Mail]]</f>
        <v>SILLA - Eddy - e.silla@gmail.com</v>
      </c>
      <c r="E36" s="46" t="str">
        <f>IF(COUNTIF(Emails[JOINDRE.TEXTE],Emails[[#This Row],[JOINDRE.TEXTE]])=1,"Valeur unique","Doublon")</f>
        <v>Valeur unique</v>
      </c>
      <c r="F36" s="44" t="str">
        <f>_xlfn.TEXTJOIN(" - ",TRUE,Emails[[#This Row],[Nom]:[Mail]])</f>
        <v>SILLA - Eddy - e.silla@gmail.com</v>
      </c>
      <c r="G36" s="47" t="str">
        <f>IF(Emails[[#This Row],[Nom]]="","",IF(COUNTIFS(Emails[Correction
JOINDRE.TEXTE],Emails[[#This Row],[Correction
JOINDRE.TEXTE]])=1,"Valeur unique","Doublon"))</f>
        <v>Valeur unique</v>
      </c>
    </row>
    <row r="37" spans="1:7">
      <c r="A37" s="5" t="s">
        <v>22</v>
      </c>
      <c r="B37" s="2" t="s">
        <v>21</v>
      </c>
      <c r="C37" s="45" t="s">
        <v>98</v>
      </c>
      <c r="D37" s="6" t="str">
        <f>Emails[[#This Row],[Nom]]&amp;" - "&amp;Emails[[#This Row],[Prénom]]&amp;" - "&amp;Emails[[#This Row],[Mail]]</f>
        <v>DÉGOUT - Barbara - b.degout@gmail.com</v>
      </c>
      <c r="E37" s="46" t="str">
        <f>IF(COUNTIF(Emails[JOINDRE.TEXTE],Emails[[#This Row],[JOINDRE.TEXTE]])=1,"Valeur unique","Doublon")</f>
        <v>Valeur unique</v>
      </c>
      <c r="F37" s="44" t="str">
        <f>_xlfn.TEXTJOIN(" - ",TRUE,Emails[[#This Row],[Nom]:[Mail]])</f>
        <v>DÉGOUT - Barbara - b.degout@gmail.com</v>
      </c>
      <c r="G37" s="47" t="str">
        <f>IF(Emails[[#This Row],[Nom]]="","",IF(COUNTIFS(Emails[Correction
JOINDRE.TEXTE],Emails[[#This Row],[Correction
JOINDRE.TEXTE]])=1,"Valeur unique","Doublon"))</f>
        <v>Valeur unique</v>
      </c>
    </row>
    <row r="38" spans="1:7">
      <c r="A38" s="5" t="s">
        <v>12</v>
      </c>
      <c r="B38" s="2" t="s">
        <v>11</v>
      </c>
      <c r="C38" s="45" t="s">
        <v>99</v>
      </c>
      <c r="D38" s="6" t="str">
        <f>Emails[[#This Row],[Nom]]&amp;" - "&amp;Emails[[#This Row],[Prénom]]&amp;" - "&amp;Emails[[#This Row],[Mail]]</f>
        <v>GATORE - Ali - a.gatore@gmail.com</v>
      </c>
      <c r="E38" s="46" t="str">
        <f>IF(COUNTIF(Emails[JOINDRE.TEXTE],Emails[[#This Row],[JOINDRE.TEXTE]])=1,"Valeur unique","Doublon")</f>
        <v>Valeur unique</v>
      </c>
      <c r="F38" s="44" t="str">
        <f>_xlfn.TEXTJOIN(" - ",TRUE,Emails[[#This Row],[Nom]:[Mail]])</f>
        <v>GATORE - Ali - a.gatore@gmail.com</v>
      </c>
      <c r="G38" s="47" t="str">
        <f>IF(Emails[[#This Row],[Nom]]="","",IF(COUNTIFS(Emails[Correction
JOINDRE.TEXTE],Emails[[#This Row],[Correction
JOINDRE.TEXTE]])=1,"Valeur unique","Doublon"))</f>
        <v>Valeur unique</v>
      </c>
    </row>
    <row r="39" spans="1:7">
      <c r="A39" s="5" t="s">
        <v>62</v>
      </c>
      <c r="B39" s="2" t="s">
        <v>61</v>
      </c>
      <c r="C39" s="45" t="s">
        <v>100</v>
      </c>
      <c r="D39" s="6" t="str">
        <f>Emails[[#This Row],[Nom]]&amp;" - "&amp;Emails[[#This Row],[Prénom]]&amp;" - "&amp;Emails[[#This Row],[Mail]]</f>
        <v>GREC - Edmond - e.grec@gmail.com</v>
      </c>
      <c r="E39" s="46" t="str">
        <f>IF(COUNTIF(Emails[JOINDRE.TEXTE],Emails[[#This Row],[JOINDRE.TEXTE]])=1,"Valeur unique","Doublon")</f>
        <v>Valeur unique</v>
      </c>
      <c r="F39" s="44" t="str">
        <f>_xlfn.TEXTJOIN(" - ",TRUE,Emails[[#This Row],[Nom]:[Mail]])</f>
        <v>GREC - Edmond - e.grec@gmail.com</v>
      </c>
      <c r="G39" s="47" t="str">
        <f>IF(Emails[[#This Row],[Nom]]="","",IF(COUNTIFS(Emails[Correction
JOINDRE.TEXTE],Emails[[#This Row],[Correction
JOINDRE.TEXTE]])=1,"Valeur unique","Doublon"))</f>
        <v>Valeur unique</v>
      </c>
    </row>
    <row r="40" spans="1:7">
      <c r="A40" s="5" t="s">
        <v>20</v>
      </c>
      <c r="B40" s="2" t="s">
        <v>19</v>
      </c>
      <c r="C40" s="45" t="s">
        <v>101</v>
      </c>
      <c r="D40" s="6" t="str">
        <f>Emails[[#This Row],[Nom]]&amp;" - "&amp;Emails[[#This Row],[Prénom]]&amp;" - "&amp;Emails[[#This Row],[Mail]]</f>
        <v>POLAIRE - Aurore - a.polaire@gmail.com</v>
      </c>
      <c r="E40" s="46" t="str">
        <f>IF(COUNTIF(Emails[JOINDRE.TEXTE],Emails[[#This Row],[JOINDRE.TEXTE]])=1,"Valeur unique","Doublon")</f>
        <v>Valeur unique</v>
      </c>
      <c r="F40" s="44" t="str">
        <f>_xlfn.TEXTJOIN(" - ",TRUE,Emails[[#This Row],[Nom]:[Mail]])</f>
        <v>POLAIRE - Aurore - a.polaire@gmail.com</v>
      </c>
      <c r="G40" s="47" t="str">
        <f>IF(Emails[[#This Row],[Nom]]="","",IF(COUNTIFS(Emails[Correction
JOINDRE.TEXTE],Emails[[#This Row],[Correction
JOINDRE.TEXTE]])=1,"Valeur unique","Doublon"))</f>
        <v>Valeur unique</v>
      </c>
    </row>
    <row r="41" spans="1:7">
      <c r="A41" s="5" t="s">
        <v>70</v>
      </c>
      <c r="B41" s="2" t="s">
        <v>69</v>
      </c>
      <c r="C41" s="45" t="s">
        <v>103</v>
      </c>
      <c r="D41" s="6" t="str">
        <f>Emails[[#This Row],[Nom]]&amp;" - "&amp;Emails[[#This Row],[Prénom]]&amp;" - "&amp;Emails[[#This Row],[Mail]]</f>
        <v>ALIZAN - Gaspard - g.alizan@gmail.com</v>
      </c>
      <c r="E41" s="46" t="str">
        <f>IF(COUNTIF(Emails[JOINDRE.TEXTE],Emails[[#This Row],[JOINDRE.TEXTE]])=1,"Valeur unique","Doublon")</f>
        <v>Doublon</v>
      </c>
      <c r="F41" s="44" t="str">
        <f>_xlfn.TEXTJOIN(" - ",TRUE,Emails[[#This Row],[Nom]:[Mail]])</f>
        <v>ALIZAN - Gaspard - g.alizan@gmail.com</v>
      </c>
      <c r="G41" s="47" t="str">
        <f>IF(Emails[[#This Row],[Nom]]="","",IF(COUNTIFS(Emails[Correction
JOINDRE.TEXTE],Emails[[#This Row],[Correction
JOINDRE.TEXTE]])=1,"Valeur unique","Doublon"))</f>
        <v>Doublon</v>
      </c>
    </row>
    <row r="42" spans="1:7">
      <c r="A42" s="5" t="s">
        <v>80</v>
      </c>
      <c r="B42" s="2" t="s">
        <v>79</v>
      </c>
      <c r="C42" s="45" t="s">
        <v>104</v>
      </c>
      <c r="D42" s="6" t="str">
        <f>Emails[[#This Row],[Nom]]&amp;" - "&amp;Emails[[#This Row],[Prénom]]&amp;" - "&amp;Emails[[#This Row],[Mail]]</f>
        <v>AMO - Nadine - n.amo@gmail.com</v>
      </c>
      <c r="E42" s="46" t="str">
        <f>IF(COUNTIF(Emails[JOINDRE.TEXTE],Emails[[#This Row],[JOINDRE.TEXTE]])=1,"Valeur unique","Doublon")</f>
        <v>Valeur unique</v>
      </c>
      <c r="F42" s="44" t="str">
        <f>_xlfn.TEXTJOIN(" - ",TRUE,Emails[[#This Row],[Nom]:[Mail]])</f>
        <v>AMO - Nadine - n.amo@gmail.com</v>
      </c>
      <c r="G42" s="47" t="str">
        <f>IF(Emails[[#This Row],[Nom]]="","",IF(COUNTIFS(Emails[Correction
JOINDRE.TEXTE],Emails[[#This Row],[Correction
JOINDRE.TEXTE]])=1,"Valeur unique","Doublon"))</f>
        <v>Valeur unique</v>
      </c>
    </row>
    <row r="43" spans="1:7">
      <c r="A43" s="5" t="s">
        <v>70</v>
      </c>
      <c r="B43" s="2" t="s">
        <v>69</v>
      </c>
      <c r="C43" s="45" t="s">
        <v>103</v>
      </c>
      <c r="D43" s="6" t="str">
        <f>Emails[[#This Row],[Nom]]&amp;" - "&amp;Emails[[#This Row],[Prénom]]&amp;" - "&amp;Emails[[#This Row],[Mail]]</f>
        <v>ALIZAN - Gaspard - g.alizan@gmail.com</v>
      </c>
      <c r="E43" s="46" t="str">
        <f>IF(COUNTIF(Emails[JOINDRE.TEXTE],Emails[[#This Row],[JOINDRE.TEXTE]])=1,"Valeur unique","Doublon")</f>
        <v>Doublon</v>
      </c>
      <c r="F43" s="44" t="str">
        <f>_xlfn.TEXTJOIN(" - ",TRUE,Emails[[#This Row],[Nom]:[Mail]])</f>
        <v>ALIZAN - Gaspard - g.alizan@gmail.com</v>
      </c>
      <c r="G43" s="47" t="str">
        <f>IF(Emails[[#This Row],[Nom]]="","",IF(COUNTIFS(Emails[Correction
JOINDRE.TEXTE],Emails[[#This Row],[Correction
JOINDRE.TEXTE]])=1,"Valeur unique","Doublon"))</f>
        <v>Doublon</v>
      </c>
    </row>
    <row r="44" spans="1:7">
      <c r="A44" s="5" t="s">
        <v>74</v>
      </c>
      <c r="B44" s="2" t="s">
        <v>73</v>
      </c>
      <c r="C44" s="45" t="s">
        <v>105</v>
      </c>
      <c r="D44" s="6" t="str">
        <f>Emails[[#This Row],[Nom]]&amp;" - "&amp;Emails[[#This Row],[Prénom]]&amp;" - "&amp;Emails[[#This Row],[Mail]]</f>
        <v>AREPASSÉ - Jennifer - j.arepasse@gmail.com</v>
      </c>
      <c r="E44" s="46" t="str">
        <f>IF(COUNTIF(Emails[JOINDRE.TEXTE],Emails[[#This Row],[JOINDRE.TEXTE]])=1,"Valeur unique","Doublon")</f>
        <v>Valeur unique</v>
      </c>
      <c r="F44" s="44" t="str">
        <f>_xlfn.TEXTJOIN(" - ",TRUE,Emails[[#This Row],[Nom]:[Mail]])</f>
        <v>AREPASSÉ - Jennifer - j.arepasse@gmail.com</v>
      </c>
      <c r="G44" s="47" t="str">
        <f>IF(Emails[[#This Row],[Nom]]="","",IF(COUNTIFS(Emails[Correction
JOINDRE.TEXTE],Emails[[#This Row],[Correction
JOINDRE.TEXTE]])=1,"Valeur unique","Doublon"))</f>
        <v>Valeur unique</v>
      </c>
    </row>
    <row r="45" spans="1:7">
      <c r="A45" s="5" t="s">
        <v>66</v>
      </c>
      <c r="B45" s="2" t="s">
        <v>65</v>
      </c>
      <c r="C45" s="45" t="s">
        <v>106</v>
      </c>
      <c r="D45" s="6" t="str">
        <f>Emails[[#This Row],[Nom]]&amp;" - "&amp;Emails[[#This Row],[Prénom]]&amp;" - "&amp;Emails[[#This Row],[Mail]]</f>
        <v>ASSONMEC - Fidel - f.assonmec@gmail.com</v>
      </c>
      <c r="E45" s="46" t="str">
        <f>IF(COUNTIF(Emails[JOINDRE.TEXTE],Emails[[#This Row],[JOINDRE.TEXTE]])=1,"Valeur unique","Doublon")</f>
        <v>Valeur unique</v>
      </c>
      <c r="F45" s="44" t="str">
        <f>_xlfn.TEXTJOIN(" - ",TRUE,Emails[[#This Row],[Nom]:[Mail]])</f>
        <v>ASSONMEC - Fidel - f.assonmec@gmail.com</v>
      </c>
      <c r="G45" s="47" t="str">
        <f>IF(Emails[[#This Row],[Nom]]="","",IF(COUNTIFS(Emails[Correction
JOINDRE.TEXTE],Emails[[#This Row],[Correction
JOINDRE.TEXTE]])=1,"Valeur unique","Doublon"))</f>
        <v>Valeur unique</v>
      </c>
    </row>
    <row r="46" spans="1:7">
      <c r="A46" s="5" t="s">
        <v>78</v>
      </c>
      <c r="B46" s="2" t="s">
        <v>77</v>
      </c>
      <c r="C46" s="45" t="s">
        <v>107</v>
      </c>
      <c r="D46" s="6" t="str">
        <f>Emails[[#This Row],[Nom]]&amp;" - "&amp;Emails[[#This Row],[Prénom]]&amp;" - "&amp;Emails[[#This Row],[Mail]]</f>
        <v>DEMESSE - Michel - m.demesse@gmail.com</v>
      </c>
      <c r="E46" s="46" t="str">
        <f>IF(COUNTIF(Emails[JOINDRE.TEXTE],Emails[[#This Row],[JOINDRE.TEXTE]])=1,"Valeur unique","Doublon")</f>
        <v>Valeur unique</v>
      </c>
      <c r="F46" s="44" t="str">
        <f>_xlfn.TEXTJOIN(" - ",TRUE,Emails[[#This Row],[Nom]:[Mail]])</f>
        <v>DEMESSE - Michel - m.demesse@gmail.com</v>
      </c>
      <c r="G46" s="47" t="str">
        <f>IF(Emails[[#This Row],[Nom]]="","",IF(COUNTIFS(Emails[Correction
JOINDRE.TEXTE],Emails[[#This Row],[Correction
JOINDRE.TEXTE]])=1,"Valeur unique","Doublon"))</f>
        <v>Valeur unique</v>
      </c>
    </row>
    <row r="47" spans="1:7" ht="28.8">
      <c r="A47" s="5" t="s">
        <v>76</v>
      </c>
      <c r="B47" s="2" t="s">
        <v>75</v>
      </c>
      <c r="C47" s="45" t="s">
        <v>108</v>
      </c>
      <c r="D47" s="6" t="str">
        <f>Emails[[#This Row],[Nom]]&amp;" - "&amp;Emails[[#This Row],[Prénom]]&amp;" - "&amp;Emails[[#This Row],[Mail]]</f>
        <v>DEPINBEURRÉ - Martine - m.depinbeurre@gmail.com</v>
      </c>
      <c r="E47" s="46" t="str">
        <f>IF(COUNTIF(Emails[JOINDRE.TEXTE],Emails[[#This Row],[JOINDRE.TEXTE]])=1,"Valeur unique","Doublon")</f>
        <v>Valeur unique</v>
      </c>
      <c r="F47" s="44" t="str">
        <f>_xlfn.TEXTJOIN(" - ",TRUE,Emails[[#This Row],[Nom]:[Mail]])</f>
        <v>DEPINBEURRÉ - Martine - m.depinbeurre@gmail.com</v>
      </c>
      <c r="G47" s="47" t="str">
        <f>IF(Emails[[#This Row],[Nom]]="","",IF(COUNTIFS(Emails[Correction
JOINDRE.TEXTE],Emails[[#This Row],[Correction
JOINDRE.TEXTE]])=1,"Valeur unique","Doublon"))</f>
        <v>Valeur unique</v>
      </c>
    </row>
    <row r="48" spans="1:7">
      <c r="A48" s="5"/>
      <c r="B48" s="2"/>
      <c r="C48" s="45"/>
      <c r="D48" s="6" t="str">
        <f>Emails[[#This Row],[Nom]]&amp;" - "&amp;Emails[[#This Row],[Prénom]]&amp;" - "&amp;Emails[[#This Row],[Mail]]</f>
        <v xml:space="preserve"> -  - </v>
      </c>
      <c r="E48" s="46" t="str">
        <f>IF(COUNTIF(Emails[JOINDRE.TEXTE],Emails[[#This Row],[JOINDRE.TEXTE]])=1,"Valeur unique","Doublon")</f>
        <v>Doublon</v>
      </c>
      <c r="F48" s="44" t="str">
        <f>_xlfn.TEXTJOIN(" - ",TRUE,Emails[[#This Row],[Nom]:[Mail]])</f>
        <v/>
      </c>
      <c r="G48" s="47" t="str">
        <f>IF(Emails[[#This Row],[Nom]]="","",IF(COUNTIFS(Emails[Correction
JOINDRE.TEXTE],Emails[[#This Row],[Correction
JOINDRE.TEXTE]])=1,"Valeur unique","Doublon"))</f>
        <v/>
      </c>
    </row>
    <row r="49" spans="1:7">
      <c r="A49" s="5"/>
      <c r="B49" s="2"/>
      <c r="C49" s="45"/>
      <c r="D49" s="6" t="str">
        <f>Emails[[#This Row],[Nom]]&amp;" - "&amp;Emails[[#This Row],[Prénom]]&amp;" - "&amp;Emails[[#This Row],[Mail]]</f>
        <v xml:space="preserve"> -  - </v>
      </c>
      <c r="E49" s="46" t="str">
        <f>IF(COUNTIF(Emails[JOINDRE.TEXTE],Emails[[#This Row],[JOINDRE.TEXTE]])=1,"Valeur unique","Doublon")</f>
        <v>Doublon</v>
      </c>
      <c r="F49" s="44" t="str">
        <f>_xlfn.TEXTJOIN(" - ",TRUE,Emails[[#This Row],[Nom]:[Mail]])</f>
        <v/>
      </c>
      <c r="G49" s="47" t="str">
        <f>IF(Emails[[#This Row],[Nom]]="","",IF(COUNTIFS(Emails[Correction
JOINDRE.TEXTE],Emails[[#This Row],[Correction
JOINDRE.TEXTE]])=1,"Valeur unique","Doublon"))</f>
        <v/>
      </c>
    </row>
    <row r="50" spans="1:7">
      <c r="A50" s="5"/>
      <c r="B50" s="2"/>
      <c r="C50" s="45"/>
      <c r="D50" s="6" t="str">
        <f>Emails[[#This Row],[Nom]]&amp;" - "&amp;Emails[[#This Row],[Prénom]]&amp;" - "&amp;Emails[[#This Row],[Mail]]</f>
        <v xml:space="preserve"> -  - </v>
      </c>
      <c r="E50" s="46" t="str">
        <f>IF(COUNTIF(Emails[JOINDRE.TEXTE],Emails[[#This Row],[JOINDRE.TEXTE]])=1,"Valeur unique","Doublon")</f>
        <v>Doublon</v>
      </c>
      <c r="F50" s="44" t="str">
        <f>_xlfn.TEXTJOIN(" - ",TRUE,Emails[[#This Row],[Nom]:[Mail]])</f>
        <v/>
      </c>
      <c r="G50" s="47" t="str">
        <f>IF(Emails[[#This Row],[Nom]]="","",IF(COUNTIFS(Emails[Correction
JOINDRE.TEXTE],Emails[[#This Row],[Correction
JOINDRE.TEXTE]])=1,"Valeur unique","Doublon"))</f>
        <v/>
      </c>
    </row>
  </sheetData>
  <conditionalFormatting sqref="D14:D47">
    <cfRule type="duplicateValues" dxfId="1" priority="1"/>
  </conditionalFormatting>
  <conditionalFormatting sqref="F14:F50">
    <cfRule type="duplicateValues" dxfId="0" priority="4"/>
  </conditionalFormatting>
  <pageMargins left="0.7" right="0.7" top="0.75" bottom="0.75" header="0.3" footer="0.3"/>
  <pageSetup paperSize="9" orientation="portrait" horizontalDpi="90" verticalDpi="90" r:id="rId1"/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78FA7-A86E-1940-89F9-17F7C46A9B10}">
  <sheetPr>
    <tabColor theme="3" tint="0.79998168889431442"/>
  </sheetPr>
  <dimension ref="A1:E13"/>
  <sheetViews>
    <sheetView showGridLines="0" workbookViewId="0">
      <selection activeCell="B6" sqref="B6"/>
    </sheetView>
  </sheetViews>
  <sheetFormatPr baseColWidth="10" defaultColWidth="12.109375" defaultRowHeight="14.4"/>
  <cols>
    <col min="1" max="1" width="15.77734375" style="1" customWidth="1"/>
    <col min="2" max="2" width="25.77734375" style="1" customWidth="1"/>
    <col min="3" max="3" width="20.77734375" style="1" customWidth="1"/>
    <col min="4" max="4" width="25.77734375" style="1" customWidth="1"/>
    <col min="5" max="5" width="20.77734375" style="1" customWidth="1"/>
    <col min="6" max="16384" width="12.109375" style="1"/>
  </cols>
  <sheetData>
    <row r="1" spans="1:5" ht="15" customHeight="1">
      <c r="A1" s="33" t="s">
        <v>132</v>
      </c>
      <c r="B1" s="33"/>
      <c r="C1" s="33"/>
      <c r="D1" s="33"/>
      <c r="E1" s="33"/>
    </row>
    <row r="2" spans="1:5" ht="15" customHeight="1">
      <c r="A2" s="31" t="s">
        <v>285</v>
      </c>
      <c r="B2" s="34"/>
      <c r="C2" s="34"/>
      <c r="D2" s="34"/>
      <c r="E2" s="34"/>
    </row>
    <row r="3" spans="1:5" ht="15" customHeight="1">
      <c r="A3" s="31" t="s">
        <v>785</v>
      </c>
      <c r="B3" s="34"/>
      <c r="C3" s="34"/>
      <c r="D3" s="34"/>
      <c r="E3" s="34"/>
    </row>
    <row r="5" spans="1:5" ht="31.95" customHeight="1">
      <c r="A5"/>
      <c r="B5" s="15" t="s">
        <v>1139</v>
      </c>
      <c r="C5" s="16" t="s">
        <v>81</v>
      </c>
      <c r="D5"/>
      <c r="E5"/>
    </row>
    <row r="6" spans="1:5" ht="31.95" customHeight="1">
      <c r="A6"/>
      <c r="B6" s="109">
        <f>SUM(_14.Calculer_heures[Heures travaillées])</f>
        <v>1.6666666666666665</v>
      </c>
      <c r="C6" s="58">
        <f>SUM(_14.Calculer_heures[Heures travaillées])</f>
        <v>1.6666666666666665</v>
      </c>
      <c r="D6"/>
      <c r="E6"/>
    </row>
    <row r="8" spans="1:5" ht="30" customHeight="1">
      <c r="A8" s="1" t="s">
        <v>286</v>
      </c>
      <c r="B8" s="1" t="s">
        <v>201</v>
      </c>
      <c r="C8" s="1" t="s">
        <v>207</v>
      </c>
      <c r="D8" s="1" t="s">
        <v>208</v>
      </c>
      <c r="E8" s="27" t="s">
        <v>81</v>
      </c>
    </row>
    <row r="9" spans="1:5" ht="30" customHeight="1">
      <c r="A9" s="56" t="s">
        <v>202</v>
      </c>
      <c r="B9" s="59">
        <v>0.33333333333333331</v>
      </c>
      <c r="C9" s="60">
        <v>100</v>
      </c>
      <c r="D9" s="61"/>
      <c r="E9" s="62">
        <f>_14.Calculer_heures[[#This Row],[Heures travaillées]]*24*_14.Calculer_heures[[#This Row],[Taux horaire]]</f>
        <v>800</v>
      </c>
    </row>
    <row r="10" spans="1:5" ht="30" customHeight="1">
      <c r="A10" s="56" t="s">
        <v>203</v>
      </c>
      <c r="B10" s="59">
        <v>0.3125</v>
      </c>
      <c r="C10" s="60">
        <v>100</v>
      </c>
      <c r="D10" s="61"/>
      <c r="E10" s="62">
        <f>_14.Calculer_heures[[#This Row],[Heures travaillées]]*24*_14.Calculer_heures[[#This Row],[Taux horaire]]</f>
        <v>750</v>
      </c>
    </row>
    <row r="11" spans="1:5" ht="30" customHeight="1">
      <c r="A11" s="56" t="s">
        <v>204</v>
      </c>
      <c r="B11" s="59">
        <v>0.33333333333333331</v>
      </c>
      <c r="C11" s="60">
        <v>100</v>
      </c>
      <c r="D11" s="61"/>
      <c r="E11" s="62">
        <f>_14.Calculer_heures[[#This Row],[Heures travaillées]]*24*_14.Calculer_heures[[#This Row],[Taux horaire]]</f>
        <v>800</v>
      </c>
    </row>
    <row r="12" spans="1:5" ht="30" customHeight="1">
      <c r="A12" s="56" t="s">
        <v>205</v>
      </c>
      <c r="B12" s="59">
        <v>0.375</v>
      </c>
      <c r="C12" s="60">
        <v>100</v>
      </c>
      <c r="D12" s="61"/>
      <c r="E12" s="62">
        <f>_14.Calculer_heures[[#This Row],[Heures travaillées]]*24*_14.Calculer_heures[[#This Row],[Taux horaire]]</f>
        <v>900</v>
      </c>
    </row>
    <row r="13" spans="1:5" ht="30" customHeight="1">
      <c r="A13" s="56" t="s">
        <v>206</v>
      </c>
      <c r="B13" s="59">
        <v>0.3125</v>
      </c>
      <c r="C13" s="60">
        <v>100</v>
      </c>
      <c r="D13" s="61"/>
      <c r="E13" s="62">
        <f>_14.Calculer_heures[[#This Row],[Heures travaillées]]*24*_14.Calculer_heures[[#This Row],[Taux horaire]]</f>
        <v>750</v>
      </c>
    </row>
  </sheetData>
  <phoneticPr fontId="5" type="noConversion"/>
  <pageMargins left="0.7" right="0.7" top="0.75" bottom="0.75" header="0.3" footer="0.3"/>
  <pageSetup paperSize="9" orientation="portrait" horizontalDpi="90" verticalDpi="90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62A8-450F-4D4F-AC1F-93ED78FC8685}">
  <sheetPr>
    <tabColor theme="3" tint="0.79998168889431442"/>
  </sheetPr>
  <dimension ref="A1:D19"/>
  <sheetViews>
    <sheetView showGridLines="0" workbookViewId="0">
      <selection activeCell="D5" sqref="D5"/>
    </sheetView>
  </sheetViews>
  <sheetFormatPr baseColWidth="10" defaultColWidth="12.109375" defaultRowHeight="14.4"/>
  <cols>
    <col min="1" max="3" width="23.33203125" style="1" customWidth="1"/>
    <col min="4" max="16384" width="12.109375" style="1"/>
  </cols>
  <sheetData>
    <row r="1" spans="1:4" ht="16.05" customHeight="1">
      <c r="A1" s="33" t="s">
        <v>132</v>
      </c>
      <c r="B1" s="33"/>
      <c r="C1" s="33"/>
    </row>
    <row r="2" spans="1:4">
      <c r="A2" s="31" t="s">
        <v>309</v>
      </c>
      <c r="B2" s="34"/>
      <c r="C2" s="34"/>
    </row>
    <row r="4" spans="1:4" ht="31.95" customHeight="1">
      <c r="B4" s="15" t="s">
        <v>1140</v>
      </c>
      <c r="C4" s="16" t="s">
        <v>81</v>
      </c>
    </row>
    <row r="5" spans="1:4" ht="31.95" customHeight="1">
      <c r="B5" s="49">
        <f>SUMPRODUCT(Ventes[Prix unitaire],Ventes[Quantité])</f>
        <v>31431</v>
      </c>
      <c r="C5" s="64">
        <f>SUMPRODUCT(Ventes[Prix unitaire],Ventes[Quantité])</f>
        <v>31431</v>
      </c>
      <c r="D5" s="111"/>
    </row>
    <row r="7" spans="1:4">
      <c r="A7" s="1" t="s">
        <v>217</v>
      </c>
      <c r="B7" s="1" t="s">
        <v>307</v>
      </c>
      <c r="C7" s="1" t="s">
        <v>308</v>
      </c>
    </row>
    <row r="8" spans="1:4">
      <c r="A8" s="60">
        <v>90</v>
      </c>
      <c r="B8" s="56">
        <v>50</v>
      </c>
      <c r="C8" s="60">
        <f>Ventes[[#This Row],[Prix unitaire]]*Ventes[[#This Row],[Quantité]]</f>
        <v>4500</v>
      </c>
    </row>
    <row r="9" spans="1:4">
      <c r="A9" s="60">
        <v>85</v>
      </c>
      <c r="B9" s="56">
        <v>32</v>
      </c>
      <c r="C9" s="60">
        <f>Ventes[[#This Row],[Prix unitaire]]*Ventes[[#This Row],[Quantité]]</f>
        <v>2720</v>
      </c>
    </row>
    <row r="10" spans="1:4">
      <c r="A10" s="60">
        <v>23</v>
      </c>
      <c r="B10" s="56">
        <v>58</v>
      </c>
      <c r="C10" s="60">
        <f>Ventes[[#This Row],[Prix unitaire]]*Ventes[[#This Row],[Quantité]]</f>
        <v>1334</v>
      </c>
    </row>
    <row r="11" spans="1:4">
      <c r="A11" s="60">
        <v>84</v>
      </c>
      <c r="B11" s="56">
        <v>40</v>
      </c>
      <c r="C11" s="60">
        <f>Ventes[[#This Row],[Prix unitaire]]*Ventes[[#This Row],[Quantité]]</f>
        <v>3360</v>
      </c>
    </row>
    <row r="12" spans="1:4">
      <c r="A12" s="60">
        <v>9</v>
      </c>
      <c r="B12" s="56">
        <v>21</v>
      </c>
      <c r="C12" s="60">
        <f>Ventes[[#This Row],[Prix unitaire]]*Ventes[[#This Row],[Quantité]]</f>
        <v>189</v>
      </c>
    </row>
    <row r="13" spans="1:4">
      <c r="A13" s="60">
        <v>89</v>
      </c>
      <c r="B13" s="56">
        <v>100</v>
      </c>
      <c r="C13" s="60">
        <f>Ventes[[#This Row],[Prix unitaire]]*Ventes[[#This Row],[Quantité]]</f>
        <v>8900</v>
      </c>
    </row>
    <row r="14" spans="1:4">
      <c r="A14" s="60">
        <v>65</v>
      </c>
      <c r="B14" s="56">
        <v>25</v>
      </c>
      <c r="C14" s="60">
        <f>Ventes[[#This Row],[Prix unitaire]]*Ventes[[#This Row],[Quantité]]</f>
        <v>1625</v>
      </c>
    </row>
    <row r="15" spans="1:4">
      <c r="A15" s="60">
        <v>78</v>
      </c>
      <c r="B15" s="56">
        <v>32</v>
      </c>
      <c r="C15" s="60">
        <f>Ventes[[#This Row],[Prix unitaire]]*Ventes[[#This Row],[Quantité]]</f>
        <v>2496</v>
      </c>
    </row>
    <row r="16" spans="1:4">
      <c r="A16" s="60">
        <v>29</v>
      </c>
      <c r="B16" s="56">
        <v>68</v>
      </c>
      <c r="C16" s="60">
        <f>Ventes[[#This Row],[Prix unitaire]]*Ventes[[#This Row],[Quantité]]</f>
        <v>1972</v>
      </c>
    </row>
    <row r="17" spans="1:3">
      <c r="A17" s="60">
        <v>35</v>
      </c>
      <c r="B17" s="56">
        <v>28</v>
      </c>
      <c r="C17" s="60">
        <f>Ventes[[#This Row],[Prix unitaire]]*Ventes[[#This Row],[Quantité]]</f>
        <v>980</v>
      </c>
    </row>
    <row r="18" spans="1:3">
      <c r="A18" s="60">
        <v>18</v>
      </c>
      <c r="B18" s="56">
        <v>24</v>
      </c>
      <c r="C18" s="60">
        <f>Ventes[[#This Row],[Prix unitaire]]*Ventes[[#This Row],[Quantité]]</f>
        <v>432</v>
      </c>
    </row>
    <row r="19" spans="1:3">
      <c r="A19" s="60">
        <v>37</v>
      </c>
      <c r="B19" s="56">
        <v>79</v>
      </c>
      <c r="C19" s="60">
        <f>Ventes[[#This Row],[Prix unitaire]]*Ventes[[#This Row],[Quantité]]</f>
        <v>2923</v>
      </c>
    </row>
  </sheetData>
  <pageMargins left="0.7" right="0.7" top="0.75" bottom="0.75" header="0.3" footer="0.3"/>
  <pageSetup paperSize="9" orientation="portrait" horizontalDpi="90" verticalDpi="90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3187C-3C1D-5241-B0CA-F8EF16FB51C3}">
  <sheetPr>
    <tabColor theme="3" tint="0.79998168889431442"/>
  </sheetPr>
  <dimension ref="A1:C17"/>
  <sheetViews>
    <sheetView showGridLines="0" workbookViewId="0">
      <selection activeCell="D9" sqref="D9"/>
    </sheetView>
  </sheetViews>
  <sheetFormatPr baseColWidth="10" defaultColWidth="12.109375" defaultRowHeight="14.4"/>
  <cols>
    <col min="1" max="1" width="20.77734375" style="1" customWidth="1"/>
    <col min="2" max="3" width="25.77734375" style="1" customWidth="1"/>
    <col min="4" max="16384" width="12.109375" style="1"/>
  </cols>
  <sheetData>
    <row r="1" spans="1:3" ht="16.05" customHeight="1">
      <c r="A1" s="33" t="s">
        <v>132</v>
      </c>
      <c r="B1" s="33"/>
      <c r="C1" s="33"/>
    </row>
    <row r="2" spans="1:3">
      <c r="A2" s="31" t="s">
        <v>783</v>
      </c>
      <c r="B2" s="34"/>
      <c r="C2" s="34"/>
    </row>
    <row r="4" spans="1:3" ht="31.95" customHeight="1">
      <c r="B4" s="15" t="s">
        <v>1142</v>
      </c>
      <c r="C4" s="16" t="s">
        <v>81</v>
      </c>
    </row>
    <row r="5" spans="1:3" ht="31.95" customHeight="1">
      <c r="B5" s="112">
        <f>SUMPRODUCT(NotesCoefs[Coefficient],NotesCoefs[Note obtenue])/SUM(NotesCoefs[Coefficient])</f>
        <v>11.90625</v>
      </c>
      <c r="C5" s="89">
        <f>SUMPRODUCT(NotesCoefs[Coefficient],NotesCoefs[Note obtenue])/SUM(NotesCoefs[Coefficient])</f>
        <v>11.90625</v>
      </c>
    </row>
    <row r="7" spans="1:3">
      <c r="A7" s="1" t="s">
        <v>771</v>
      </c>
      <c r="B7" s="1" t="s">
        <v>772</v>
      </c>
      <c r="C7" s="1" t="s">
        <v>1141</v>
      </c>
    </row>
    <row r="8" spans="1:3">
      <c r="A8" s="5" t="s">
        <v>773</v>
      </c>
      <c r="B8" s="88">
        <v>5</v>
      </c>
      <c r="C8" s="88">
        <v>8</v>
      </c>
    </row>
    <row r="9" spans="1:3">
      <c r="A9" s="5" t="s">
        <v>774</v>
      </c>
      <c r="B9" s="88">
        <v>5</v>
      </c>
      <c r="C9" s="88">
        <v>13</v>
      </c>
    </row>
    <row r="10" spans="1:3">
      <c r="A10" s="5" t="s">
        <v>775</v>
      </c>
      <c r="B10" s="88">
        <v>4</v>
      </c>
      <c r="C10" s="88">
        <v>12</v>
      </c>
    </row>
    <row r="11" spans="1:3">
      <c r="A11" s="5" t="s">
        <v>776</v>
      </c>
      <c r="B11" s="88">
        <v>4</v>
      </c>
      <c r="C11" s="88">
        <v>10</v>
      </c>
    </row>
    <row r="12" spans="1:3">
      <c r="A12" s="5" t="s">
        <v>781</v>
      </c>
      <c r="B12" s="88">
        <v>4</v>
      </c>
      <c r="C12" s="88">
        <v>11</v>
      </c>
    </row>
    <row r="13" spans="1:3">
      <c r="A13" s="5" t="s">
        <v>779</v>
      </c>
      <c r="B13" s="88">
        <v>3</v>
      </c>
      <c r="C13" s="88">
        <v>16</v>
      </c>
    </row>
    <row r="14" spans="1:3">
      <c r="A14" s="5" t="s">
        <v>780</v>
      </c>
      <c r="B14" s="88">
        <v>3</v>
      </c>
      <c r="C14" s="88">
        <v>14</v>
      </c>
    </row>
    <row r="15" spans="1:3">
      <c r="A15" s="5" t="s">
        <v>777</v>
      </c>
      <c r="B15" s="88">
        <v>2</v>
      </c>
      <c r="C15" s="88">
        <v>14</v>
      </c>
    </row>
    <row r="16" spans="1:3">
      <c r="A16" s="5" t="s">
        <v>782</v>
      </c>
      <c r="B16" s="88">
        <v>1</v>
      </c>
      <c r="C16" s="88">
        <v>6</v>
      </c>
    </row>
    <row r="17" spans="1:3">
      <c r="A17" s="5" t="s">
        <v>778</v>
      </c>
      <c r="B17" s="88">
        <v>1</v>
      </c>
      <c r="C17" s="88">
        <v>20</v>
      </c>
    </row>
  </sheetData>
  <pageMargins left="0.7" right="0.7" top="0.75" bottom="0.75" header="0.3" footer="0.3"/>
  <pageSetup paperSize="9" orientation="portrait" horizontalDpi="90" verticalDpi="90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C7D89-7896-D742-8AF9-73CDEE7A5B62}">
  <sheetPr>
    <tabColor theme="3" tint="0.79998168889431442"/>
  </sheetPr>
  <dimension ref="A1:D16"/>
  <sheetViews>
    <sheetView showGridLines="0" workbookViewId="0">
      <selection activeCell="C16" sqref="C16"/>
    </sheetView>
  </sheetViews>
  <sheetFormatPr baseColWidth="10" defaultColWidth="12.109375" defaultRowHeight="14.4"/>
  <cols>
    <col min="1" max="1" width="18.33203125" style="1" customWidth="1"/>
    <col min="2" max="2" width="20.77734375" style="1" customWidth="1"/>
    <col min="3" max="3" width="23.33203125" style="1" customWidth="1"/>
    <col min="4" max="4" width="20.77734375" style="1" customWidth="1"/>
    <col min="5" max="16384" width="12.109375" style="1"/>
  </cols>
  <sheetData>
    <row r="1" spans="1:4" ht="16.05" customHeight="1">
      <c r="A1" s="33" t="s">
        <v>132</v>
      </c>
      <c r="B1" s="33"/>
      <c r="C1" s="33"/>
      <c r="D1" s="33"/>
    </row>
    <row r="2" spans="1:4">
      <c r="A2" s="31" t="s">
        <v>259</v>
      </c>
      <c r="B2" s="34"/>
      <c r="C2" s="34"/>
      <c r="D2" s="34"/>
    </row>
    <row r="4" spans="1:4">
      <c r="A4" s="1" t="s">
        <v>187</v>
      </c>
      <c r="B4" s="1" t="s">
        <v>199</v>
      </c>
      <c r="C4" s="1" t="s">
        <v>200</v>
      </c>
      <c r="D4" s="27" t="s">
        <v>81</v>
      </c>
    </row>
    <row r="5" spans="1:4">
      <c r="A5" s="56" t="s">
        <v>186</v>
      </c>
      <c r="B5" s="60">
        <v>415274</v>
      </c>
      <c r="C5" s="61">
        <f>SUM($B$5:B5)</f>
        <v>415274</v>
      </c>
      <c r="D5" s="62">
        <f>SUM(B$4:B5)</f>
        <v>415274</v>
      </c>
    </row>
    <row r="6" spans="1:4">
      <c r="A6" s="56" t="s">
        <v>188</v>
      </c>
      <c r="B6" s="60">
        <v>638746</v>
      </c>
      <c r="C6" s="61">
        <f>SUM($B$5:B6)</f>
        <v>1054020</v>
      </c>
      <c r="D6" s="62">
        <f>SUM(B$4:B6)</f>
        <v>1054020</v>
      </c>
    </row>
    <row r="7" spans="1:4">
      <c r="A7" s="56" t="s">
        <v>189</v>
      </c>
      <c r="B7" s="60">
        <v>446936</v>
      </c>
      <c r="C7" s="61">
        <f>SUM($B$5:B7)</f>
        <v>1500956</v>
      </c>
      <c r="D7" s="62">
        <f>SUM(B$4:B7)</f>
        <v>1500956</v>
      </c>
    </row>
    <row r="8" spans="1:4">
      <c r="A8" s="56" t="s">
        <v>190</v>
      </c>
      <c r="B8" s="60">
        <v>871190</v>
      </c>
      <c r="C8" s="61">
        <f>SUM($B$5:B8)</f>
        <v>2372146</v>
      </c>
      <c r="D8" s="62">
        <f>SUM(B$4:B8)</f>
        <v>2372146</v>
      </c>
    </row>
    <row r="9" spans="1:4">
      <c r="A9" s="56" t="s">
        <v>191</v>
      </c>
      <c r="B9" s="60">
        <v>618563</v>
      </c>
      <c r="C9" s="61">
        <f>SUM($B$5:B9)</f>
        <v>2990709</v>
      </c>
      <c r="D9" s="62">
        <f>SUM(B$4:B9)</f>
        <v>2990709</v>
      </c>
    </row>
    <row r="10" spans="1:4">
      <c r="A10" s="56" t="s">
        <v>192</v>
      </c>
      <c r="B10" s="60">
        <v>353184</v>
      </c>
      <c r="C10" s="61">
        <f>SUM($B$5:B10)</f>
        <v>3343893</v>
      </c>
      <c r="D10" s="62">
        <f>SUM(B$4:B10)</f>
        <v>3343893</v>
      </c>
    </row>
    <row r="11" spans="1:4">
      <c r="A11" s="56" t="s">
        <v>193</v>
      </c>
      <c r="B11" s="60">
        <v>700895</v>
      </c>
      <c r="C11" s="61">
        <f>SUM($B$5:B11)</f>
        <v>4044788</v>
      </c>
      <c r="D11" s="62">
        <f>SUM(B$4:B11)</f>
        <v>4044788</v>
      </c>
    </row>
    <row r="12" spans="1:4">
      <c r="A12" s="56" t="s">
        <v>194</v>
      </c>
      <c r="B12" s="60">
        <v>579797</v>
      </c>
      <c r="C12" s="61">
        <f>SUM($B$5:B12)</f>
        <v>4624585</v>
      </c>
      <c r="D12" s="62">
        <f>SUM(B$4:B12)</f>
        <v>4624585</v>
      </c>
    </row>
    <row r="13" spans="1:4">
      <c r="A13" s="56" t="s">
        <v>195</v>
      </c>
      <c r="B13" s="60">
        <v>458014</v>
      </c>
      <c r="C13" s="61">
        <f>SUM($B$5:B13)</f>
        <v>5082599</v>
      </c>
      <c r="D13" s="62">
        <f>SUM(B$4:B13)</f>
        <v>5082599</v>
      </c>
    </row>
    <row r="14" spans="1:4">
      <c r="A14" s="56" t="s">
        <v>196</v>
      </c>
      <c r="B14" s="60">
        <v>979370</v>
      </c>
      <c r="C14" s="61">
        <f>SUM($B$5:B14)</f>
        <v>6061969</v>
      </c>
      <c r="D14" s="62">
        <f>SUM(B$4:B14)</f>
        <v>6061969</v>
      </c>
    </row>
    <row r="15" spans="1:4">
      <c r="A15" s="56" t="s">
        <v>197</v>
      </c>
      <c r="B15" s="60">
        <v>607355</v>
      </c>
      <c r="C15" s="61">
        <f>SUM($B$5:B15)</f>
        <v>6669324</v>
      </c>
      <c r="D15" s="62">
        <f>SUM(B$4:B15)</f>
        <v>6669324</v>
      </c>
    </row>
    <row r="16" spans="1:4">
      <c r="A16" s="56" t="s">
        <v>198</v>
      </c>
      <c r="B16" s="60">
        <v>470093</v>
      </c>
      <c r="C16" s="61">
        <f>SUM($B$5:B16)</f>
        <v>7139417</v>
      </c>
      <c r="D16" s="62">
        <f>SUM(B$4:B16)</f>
        <v>7139417</v>
      </c>
    </row>
  </sheetData>
  <phoneticPr fontId="5" type="noConversion"/>
  <pageMargins left="0.7" right="0.7" top="0.75" bottom="0.75" header="0.3" footer="0.3"/>
  <pageSetup paperSize="9" orientation="portrait" horizontalDpi="90" verticalDpi="90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EF18A-48D1-A64A-8679-D427CEBEA020}">
  <sheetPr>
    <tabColor theme="3" tint="0.79998168889431442"/>
  </sheetPr>
  <dimension ref="A1:J104"/>
  <sheetViews>
    <sheetView showGridLines="0" workbookViewId="0">
      <selection activeCell="A25" sqref="A25"/>
    </sheetView>
  </sheetViews>
  <sheetFormatPr baseColWidth="10" defaultColWidth="12.109375" defaultRowHeight="14.4"/>
  <cols>
    <col min="1" max="1" width="15.77734375" style="1" customWidth="1"/>
    <col min="2" max="2" width="22.6640625" style="1" customWidth="1"/>
    <col min="3" max="10" width="20.77734375" style="1" customWidth="1"/>
    <col min="11" max="12" width="23.33203125" style="1" customWidth="1"/>
    <col min="13" max="16384" width="12.109375" style="1"/>
  </cols>
  <sheetData>
    <row r="1" spans="1:10" ht="19.95" customHeight="1">
      <c r="A1" s="33" t="s">
        <v>132</v>
      </c>
      <c r="B1" s="33"/>
      <c r="C1" s="33"/>
      <c r="D1" s="33"/>
      <c r="E1" s="33"/>
      <c r="F1" s="38"/>
      <c r="G1" s="38"/>
      <c r="H1" s="38"/>
      <c r="I1" s="38"/>
      <c r="J1" s="38"/>
    </row>
    <row r="2" spans="1:10">
      <c r="A2" s="31" t="s">
        <v>341</v>
      </c>
      <c r="B2" s="34"/>
      <c r="C2" s="34"/>
      <c r="D2" s="34"/>
      <c r="E2" s="34"/>
      <c r="F2" s="37"/>
      <c r="G2" s="37"/>
      <c r="H2" s="37"/>
      <c r="I2" s="37"/>
      <c r="J2" s="37"/>
    </row>
    <row r="3" spans="1:10">
      <c r="A3" s="31" t="s">
        <v>342</v>
      </c>
      <c r="B3" s="34"/>
      <c r="C3" s="34"/>
      <c r="D3" s="34"/>
      <c r="E3" s="34"/>
      <c r="F3" s="37"/>
      <c r="G3" s="37"/>
      <c r="H3" s="37"/>
      <c r="I3" s="37"/>
      <c r="J3" s="37"/>
    </row>
    <row r="4" spans="1:10">
      <c r="A4" s="31" t="s">
        <v>343</v>
      </c>
      <c r="B4" s="34"/>
      <c r="C4" s="34"/>
      <c r="D4" s="34"/>
      <c r="E4" s="34"/>
      <c r="F4" s="37"/>
      <c r="G4" s="37"/>
      <c r="H4" s="37"/>
      <c r="I4" s="37"/>
      <c r="J4" s="37"/>
    </row>
    <row r="6" spans="1:10" ht="28.8">
      <c r="A6" s="15" t="s">
        <v>215</v>
      </c>
      <c r="B6" s="15" t="s">
        <v>338</v>
      </c>
      <c r="C6" s="16" t="s">
        <v>81</v>
      </c>
      <c r="D6" s="15" t="s">
        <v>1143</v>
      </c>
      <c r="E6" s="15" t="s">
        <v>339</v>
      </c>
      <c r="F6" s="16" t="s">
        <v>81</v>
      </c>
    </row>
    <row r="7" spans="1:10" customFormat="1" ht="19.95" customHeight="1">
      <c r="A7" s="3" t="s">
        <v>209</v>
      </c>
      <c r="B7" s="49"/>
      <c r="C7" s="50">
        <f>SUMIFS(_18.Calculer_ce_qui_contient[CA HT],_18.Calculer_ce_qui_contient[Produit vendu],A7&amp;"*")</f>
        <v>36729</v>
      </c>
      <c r="D7" s="3" t="s">
        <v>340</v>
      </c>
      <c r="E7" s="49"/>
      <c r="F7" s="50">
        <f>DSUM(_18.Calculer_ce_qui_contient[#All],4,D6:D7)</f>
        <v>0</v>
      </c>
    </row>
    <row r="8" spans="1:10" ht="19.95" customHeight="1">
      <c r="A8" s="3" t="s">
        <v>210</v>
      </c>
      <c r="B8" s="49"/>
      <c r="C8" s="50">
        <f>SUMIFS(_18.Calculer_ce_qui_contient[CA HT],_18.Calculer_ce_qui_contient[Produit vendu],A8&amp;"*")</f>
        <v>36785</v>
      </c>
      <c r="D8"/>
      <c r="E8"/>
      <c r="F8"/>
    </row>
    <row r="9" spans="1:10" ht="19.95" customHeight="1">
      <c r="A9" s="3" t="s">
        <v>211</v>
      </c>
      <c r="B9" s="49"/>
      <c r="C9" s="50">
        <f>SUMIFS(_18.Calculer_ce_qui_contient[CA HT],_18.Calculer_ce_qui_contient[Produit vendu],A9&amp;"*")</f>
        <v>24386</v>
      </c>
      <c r="D9"/>
      <c r="E9"/>
      <c r="F9"/>
    </row>
    <row r="10" spans="1:10" ht="19.95" customHeight="1">
      <c r="A10" s="3" t="s">
        <v>212</v>
      </c>
      <c r="B10" s="49"/>
      <c r="C10" s="50">
        <f>SUMIFS(_18.Calculer_ce_qui_contient[CA HT],_18.Calculer_ce_qui_contient[Produit vendu],A10&amp;"*")</f>
        <v>14134</v>
      </c>
      <c r="D10"/>
      <c r="E10"/>
      <c r="F10"/>
    </row>
    <row r="11" spans="1:10" ht="19.95" customHeight="1">
      <c r="A11" s="3" t="s">
        <v>213</v>
      </c>
      <c r="B11" s="49"/>
      <c r="C11" s="50">
        <f>SUMIFS(_18.Calculer_ce_qui_contient[CA HT],_18.Calculer_ce_qui_contient[Produit vendu],A11&amp;"*")</f>
        <v>0</v>
      </c>
      <c r="D11"/>
      <c r="E11"/>
      <c r="F11"/>
    </row>
    <row r="13" spans="1:10" ht="28.8">
      <c r="A13" s="1" t="s">
        <v>214</v>
      </c>
      <c r="B13" s="1" t="s">
        <v>216</v>
      </c>
      <c r="C13" s="1" t="s">
        <v>217</v>
      </c>
      <c r="D13" s="1" t="s">
        <v>218</v>
      </c>
      <c r="E13" s="1" t="s">
        <v>222</v>
      </c>
      <c r="F13" s="1" t="s">
        <v>219</v>
      </c>
      <c r="G13" s="27" t="s">
        <v>220</v>
      </c>
      <c r="H13" s="27" t="s">
        <v>221</v>
      </c>
      <c r="I13" s="27" t="s">
        <v>336</v>
      </c>
      <c r="J13" s="27" t="s">
        <v>337</v>
      </c>
    </row>
    <row r="14" spans="1:10">
      <c r="A14" s="5" t="s">
        <v>223</v>
      </c>
      <c r="B14" s="51">
        <v>70</v>
      </c>
      <c r="C14" s="52">
        <v>18</v>
      </c>
      <c r="D14" s="52">
        <f>_18.Calculer_ce_qui_contient[[#This Row],[Quantité vendue]]*_18.Calculer_ce_qui_contient[[#This Row],[Prix unitaire]]</f>
        <v>1260</v>
      </c>
      <c r="E14" s="53"/>
      <c r="F14" s="53"/>
      <c r="G14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Tee-shirt</v>
      </c>
      <c r="H14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L</v>
      </c>
      <c r="I14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Tee-shirt</v>
      </c>
      <c r="J14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L</v>
      </c>
    </row>
    <row r="15" spans="1:10">
      <c r="A15" s="5" t="s">
        <v>224</v>
      </c>
      <c r="B15" s="51">
        <v>70</v>
      </c>
      <c r="C15" s="52">
        <v>23</v>
      </c>
      <c r="D15" s="52">
        <f>_18.Calculer_ce_qui_contient[[#This Row],[Quantité vendue]]*_18.Calculer_ce_qui_contient[[#This Row],[Prix unitaire]]</f>
        <v>1610</v>
      </c>
      <c r="E15" s="53"/>
      <c r="F15" s="53"/>
      <c r="G15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Pull</v>
      </c>
      <c r="H15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XL</v>
      </c>
      <c r="I15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Pull</v>
      </c>
      <c r="J15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XL</v>
      </c>
    </row>
    <row r="16" spans="1:10">
      <c r="A16" s="5" t="s">
        <v>225</v>
      </c>
      <c r="B16" s="51">
        <v>9</v>
      </c>
      <c r="C16" s="52">
        <v>31</v>
      </c>
      <c r="D16" s="52">
        <f>_18.Calculer_ce_qui_contient[[#This Row],[Quantité vendue]]*_18.Calculer_ce_qui_contient[[#This Row],[Prix unitaire]]</f>
        <v>279</v>
      </c>
      <c r="E16" s="53"/>
      <c r="F16" s="53"/>
      <c r="G16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Tee-shirt</v>
      </c>
      <c r="H16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XS</v>
      </c>
      <c r="I16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Tee-shirt</v>
      </c>
      <c r="J16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XS</v>
      </c>
    </row>
    <row r="17" spans="1:10">
      <c r="A17" s="5" t="s">
        <v>243</v>
      </c>
      <c r="B17" s="51">
        <v>38</v>
      </c>
      <c r="C17" s="52">
        <v>29</v>
      </c>
      <c r="D17" s="52">
        <f>_18.Calculer_ce_qui_contient[[#This Row],[Quantité vendue]]*_18.Calculer_ce_qui_contient[[#This Row],[Prix unitaire]]</f>
        <v>1102</v>
      </c>
      <c r="E17" s="53"/>
      <c r="F17" s="53"/>
      <c r="G17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Hoodie</v>
      </c>
      <c r="H17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S</v>
      </c>
      <c r="I17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Hoodie</v>
      </c>
      <c r="J17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S</v>
      </c>
    </row>
    <row r="18" spans="1:10">
      <c r="A18" s="5" t="s">
        <v>244</v>
      </c>
      <c r="B18" s="51">
        <v>90</v>
      </c>
      <c r="C18" s="52">
        <v>31</v>
      </c>
      <c r="D18" s="52">
        <f>_18.Calculer_ce_qui_contient[[#This Row],[Quantité vendue]]*_18.Calculer_ce_qui_contient[[#This Row],[Prix unitaire]]</f>
        <v>2790</v>
      </c>
      <c r="E18" s="53"/>
      <c r="F18" s="53"/>
      <c r="G18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Hoodie</v>
      </c>
      <c r="H18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XS</v>
      </c>
      <c r="I18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Hoodie</v>
      </c>
      <c r="J18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XS</v>
      </c>
    </row>
    <row r="19" spans="1:10">
      <c r="A19" s="5" t="s">
        <v>226</v>
      </c>
      <c r="B19" s="51">
        <v>12</v>
      </c>
      <c r="C19" s="52">
        <v>41</v>
      </c>
      <c r="D19" s="52">
        <f>_18.Calculer_ce_qui_contient[[#This Row],[Quantité vendue]]*_18.Calculer_ce_qui_contient[[#This Row],[Prix unitaire]]</f>
        <v>492</v>
      </c>
      <c r="E19" s="53"/>
      <c r="F19" s="53"/>
      <c r="G19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Manteau</v>
      </c>
      <c r="H19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S</v>
      </c>
      <c r="I19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Manteau</v>
      </c>
      <c r="J19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S</v>
      </c>
    </row>
    <row r="20" spans="1:10">
      <c r="A20" s="5" t="s">
        <v>225</v>
      </c>
      <c r="B20" s="51">
        <v>13</v>
      </c>
      <c r="C20" s="52">
        <v>41</v>
      </c>
      <c r="D20" s="52">
        <f>_18.Calculer_ce_qui_contient[[#This Row],[Quantité vendue]]*_18.Calculer_ce_qui_contient[[#This Row],[Prix unitaire]]</f>
        <v>533</v>
      </c>
      <c r="E20" s="53"/>
      <c r="F20" s="53"/>
      <c r="G20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Tee-shirt</v>
      </c>
      <c r="H20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XS</v>
      </c>
      <c r="I20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Tee-shirt</v>
      </c>
      <c r="J20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XS</v>
      </c>
    </row>
    <row r="21" spans="1:10">
      <c r="A21" s="5" t="s">
        <v>223</v>
      </c>
      <c r="B21" s="51">
        <v>39</v>
      </c>
      <c r="C21" s="52">
        <v>46</v>
      </c>
      <c r="D21" s="52">
        <f>_18.Calculer_ce_qui_contient[[#This Row],[Quantité vendue]]*_18.Calculer_ce_qui_contient[[#This Row],[Prix unitaire]]</f>
        <v>1794</v>
      </c>
      <c r="E21" s="53"/>
      <c r="F21" s="53"/>
      <c r="G21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Tee-shirt</v>
      </c>
      <c r="H21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L</v>
      </c>
      <c r="I21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Tee-shirt</v>
      </c>
      <c r="J21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L</v>
      </c>
    </row>
    <row r="22" spans="1:10">
      <c r="A22" s="5" t="s">
        <v>227</v>
      </c>
      <c r="B22" s="51">
        <v>95</v>
      </c>
      <c r="C22" s="52">
        <v>46</v>
      </c>
      <c r="D22" s="52">
        <f>_18.Calculer_ce_qui_contient[[#This Row],[Quantité vendue]]*_18.Calculer_ce_qui_contient[[#This Row],[Prix unitaire]]</f>
        <v>4370</v>
      </c>
      <c r="E22" s="53"/>
      <c r="F22" s="53"/>
      <c r="G22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Pull</v>
      </c>
      <c r="H22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XS</v>
      </c>
      <c r="I22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Pull</v>
      </c>
      <c r="J22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XS</v>
      </c>
    </row>
    <row r="23" spans="1:10">
      <c r="A23" s="5" t="s">
        <v>228</v>
      </c>
      <c r="B23" s="51">
        <v>99</v>
      </c>
      <c r="C23" s="52">
        <v>14</v>
      </c>
      <c r="D23" s="52">
        <f>_18.Calculer_ce_qui_contient[[#This Row],[Quantité vendue]]*_18.Calculer_ce_qui_contient[[#This Row],[Prix unitaire]]</f>
        <v>1386</v>
      </c>
      <c r="E23" s="53"/>
      <c r="F23" s="53"/>
      <c r="G23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Gilet</v>
      </c>
      <c r="H23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M</v>
      </c>
      <c r="I23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Gilet</v>
      </c>
      <c r="J23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M</v>
      </c>
    </row>
    <row r="24" spans="1:10">
      <c r="A24" s="5" t="s">
        <v>245</v>
      </c>
      <c r="B24" s="51">
        <v>60</v>
      </c>
      <c r="C24" s="52">
        <v>44</v>
      </c>
      <c r="D24" s="52">
        <f>_18.Calculer_ce_qui_contient[[#This Row],[Quantité vendue]]*_18.Calculer_ce_qui_contient[[#This Row],[Prix unitaire]]</f>
        <v>2640</v>
      </c>
      <c r="E24" s="53"/>
      <c r="F24" s="53"/>
      <c r="G24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Hoodie</v>
      </c>
      <c r="H24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XL</v>
      </c>
      <c r="I24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Hoodie</v>
      </c>
      <c r="J24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XL</v>
      </c>
    </row>
    <row r="25" spans="1:10">
      <c r="A25" s="5" t="s">
        <v>229</v>
      </c>
      <c r="B25" s="51">
        <v>87</v>
      </c>
      <c r="C25" s="52">
        <v>20</v>
      </c>
      <c r="D25" s="52">
        <f>_18.Calculer_ce_qui_contient[[#This Row],[Quantité vendue]]*_18.Calculer_ce_qui_contient[[#This Row],[Prix unitaire]]</f>
        <v>1740</v>
      </c>
      <c r="E25" s="53"/>
      <c r="F25" s="53"/>
      <c r="G25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Gilet</v>
      </c>
      <c r="H25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S</v>
      </c>
      <c r="I25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Gilet</v>
      </c>
      <c r="J25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S</v>
      </c>
    </row>
    <row r="26" spans="1:10">
      <c r="A26" s="5" t="s">
        <v>230</v>
      </c>
      <c r="B26" s="51">
        <v>18</v>
      </c>
      <c r="C26" s="52">
        <v>49</v>
      </c>
      <c r="D26" s="52">
        <f>_18.Calculer_ce_qui_contient[[#This Row],[Quantité vendue]]*_18.Calculer_ce_qui_contient[[#This Row],[Prix unitaire]]</f>
        <v>882</v>
      </c>
      <c r="E26" s="53"/>
      <c r="F26" s="53"/>
      <c r="G26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Gilet</v>
      </c>
      <c r="H26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L</v>
      </c>
      <c r="I26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Gilet</v>
      </c>
      <c r="J26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L</v>
      </c>
    </row>
    <row r="27" spans="1:10">
      <c r="A27" s="5" t="s">
        <v>246</v>
      </c>
      <c r="B27" s="51">
        <v>4</v>
      </c>
      <c r="C27" s="52">
        <v>40</v>
      </c>
      <c r="D27" s="52">
        <f>_18.Calculer_ce_qui_contient[[#This Row],[Quantité vendue]]*_18.Calculer_ce_qui_contient[[#This Row],[Prix unitaire]]</f>
        <v>160</v>
      </c>
      <c r="E27" s="53"/>
      <c r="F27" s="53"/>
      <c r="G27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Hoodie</v>
      </c>
      <c r="H27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M</v>
      </c>
      <c r="I27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Hoodie</v>
      </c>
      <c r="J27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M</v>
      </c>
    </row>
    <row r="28" spans="1:10">
      <c r="A28" s="5" t="s">
        <v>231</v>
      </c>
      <c r="B28" s="51">
        <v>80</v>
      </c>
      <c r="C28" s="52">
        <v>30</v>
      </c>
      <c r="D28" s="52">
        <f>_18.Calculer_ce_qui_contient[[#This Row],[Quantité vendue]]*_18.Calculer_ce_qui_contient[[#This Row],[Prix unitaire]]</f>
        <v>2400</v>
      </c>
      <c r="E28" s="53"/>
      <c r="F28" s="53"/>
      <c r="G28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Pull</v>
      </c>
      <c r="H28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M</v>
      </c>
      <c r="I28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Pull</v>
      </c>
      <c r="J28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M</v>
      </c>
    </row>
    <row r="29" spans="1:10">
      <c r="A29" s="5" t="s">
        <v>247</v>
      </c>
      <c r="B29" s="51">
        <v>39</v>
      </c>
      <c r="C29" s="52">
        <v>37</v>
      </c>
      <c r="D29" s="52">
        <f>_18.Calculer_ce_qui_contient[[#This Row],[Quantité vendue]]*_18.Calculer_ce_qui_contient[[#This Row],[Prix unitaire]]</f>
        <v>1443</v>
      </c>
      <c r="E29" s="53"/>
      <c r="F29" s="53"/>
      <c r="G29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Hoodie</v>
      </c>
      <c r="H29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L</v>
      </c>
      <c r="I29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Hoodie</v>
      </c>
      <c r="J29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L</v>
      </c>
    </row>
    <row r="30" spans="1:10">
      <c r="A30" s="5" t="s">
        <v>232</v>
      </c>
      <c r="B30" s="51">
        <v>64</v>
      </c>
      <c r="C30" s="52">
        <v>29</v>
      </c>
      <c r="D30" s="52">
        <f>_18.Calculer_ce_qui_contient[[#This Row],[Quantité vendue]]*_18.Calculer_ce_qui_contient[[#This Row],[Prix unitaire]]</f>
        <v>1856</v>
      </c>
      <c r="E30" s="53"/>
      <c r="F30" s="53"/>
      <c r="G30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Manteau</v>
      </c>
      <c r="H30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XL</v>
      </c>
      <c r="I30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Manteau</v>
      </c>
      <c r="J30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XL</v>
      </c>
    </row>
    <row r="31" spans="1:10">
      <c r="A31" s="5" t="s">
        <v>224</v>
      </c>
      <c r="B31" s="51">
        <v>57</v>
      </c>
      <c r="C31" s="52">
        <v>42</v>
      </c>
      <c r="D31" s="52">
        <f>_18.Calculer_ce_qui_contient[[#This Row],[Quantité vendue]]*_18.Calculer_ce_qui_contient[[#This Row],[Prix unitaire]]</f>
        <v>2394</v>
      </c>
      <c r="E31" s="53"/>
      <c r="F31" s="53"/>
      <c r="G31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Pull</v>
      </c>
      <c r="H31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XL</v>
      </c>
      <c r="I31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Pull</v>
      </c>
      <c r="J31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XL</v>
      </c>
    </row>
    <row r="32" spans="1:10">
      <c r="A32" s="5" t="s">
        <v>245</v>
      </c>
      <c r="B32" s="51">
        <v>91</v>
      </c>
      <c r="C32" s="52">
        <v>44</v>
      </c>
      <c r="D32" s="52">
        <f>_18.Calculer_ce_qui_contient[[#This Row],[Quantité vendue]]*_18.Calculer_ce_qui_contient[[#This Row],[Prix unitaire]]</f>
        <v>4004</v>
      </c>
      <c r="E32" s="53"/>
      <c r="F32" s="53"/>
      <c r="G32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Hoodie</v>
      </c>
      <c r="H32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XL</v>
      </c>
      <c r="I32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Hoodie</v>
      </c>
      <c r="J32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XL</v>
      </c>
    </row>
    <row r="33" spans="1:10">
      <c r="A33" s="5" t="s">
        <v>224</v>
      </c>
      <c r="B33" s="51">
        <v>80</v>
      </c>
      <c r="C33" s="52">
        <v>37</v>
      </c>
      <c r="D33" s="52">
        <f>_18.Calculer_ce_qui_contient[[#This Row],[Quantité vendue]]*_18.Calculer_ce_qui_contient[[#This Row],[Prix unitaire]]</f>
        <v>2960</v>
      </c>
      <c r="E33" s="53"/>
      <c r="F33" s="53"/>
      <c r="G33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Pull</v>
      </c>
      <c r="H33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XL</v>
      </c>
      <c r="I33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Pull</v>
      </c>
      <c r="J33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XL</v>
      </c>
    </row>
    <row r="34" spans="1:10">
      <c r="A34" s="5" t="s">
        <v>244</v>
      </c>
      <c r="B34" s="51">
        <v>53</v>
      </c>
      <c r="C34" s="52">
        <v>47</v>
      </c>
      <c r="D34" s="52">
        <f>_18.Calculer_ce_qui_contient[[#This Row],[Quantité vendue]]*_18.Calculer_ce_qui_contient[[#This Row],[Prix unitaire]]</f>
        <v>2491</v>
      </c>
      <c r="E34" s="53"/>
      <c r="F34" s="53"/>
      <c r="G34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Hoodie</v>
      </c>
      <c r="H34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XS</v>
      </c>
      <c r="I34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Hoodie</v>
      </c>
      <c r="J34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XS</v>
      </c>
    </row>
    <row r="35" spans="1:10">
      <c r="A35" s="5" t="s">
        <v>231</v>
      </c>
      <c r="B35" s="51">
        <v>73</v>
      </c>
      <c r="C35" s="52">
        <v>20</v>
      </c>
      <c r="D35" s="52">
        <f>_18.Calculer_ce_qui_contient[[#This Row],[Quantité vendue]]*_18.Calculer_ce_qui_contient[[#This Row],[Prix unitaire]]</f>
        <v>1460</v>
      </c>
      <c r="E35" s="53"/>
      <c r="F35" s="53"/>
      <c r="G35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Pull</v>
      </c>
      <c r="H35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M</v>
      </c>
      <c r="I35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Pull</v>
      </c>
      <c r="J35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M</v>
      </c>
    </row>
    <row r="36" spans="1:10">
      <c r="A36" s="5" t="s">
        <v>233</v>
      </c>
      <c r="B36" s="51">
        <v>38</v>
      </c>
      <c r="C36" s="52">
        <v>32</v>
      </c>
      <c r="D36" s="52">
        <f>_18.Calculer_ce_qui_contient[[#This Row],[Quantité vendue]]*_18.Calculer_ce_qui_contient[[#This Row],[Prix unitaire]]</f>
        <v>1216</v>
      </c>
      <c r="E36" s="53"/>
      <c r="F36" s="53"/>
      <c r="G36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Tee-shirt</v>
      </c>
      <c r="H36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M</v>
      </c>
      <c r="I36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Tee-shirt</v>
      </c>
      <c r="J36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M</v>
      </c>
    </row>
    <row r="37" spans="1:10">
      <c r="A37" s="5" t="s">
        <v>233</v>
      </c>
      <c r="B37" s="51">
        <v>92</v>
      </c>
      <c r="C37" s="52">
        <v>31</v>
      </c>
      <c r="D37" s="52">
        <f>_18.Calculer_ce_qui_contient[[#This Row],[Quantité vendue]]*_18.Calculer_ce_qui_contient[[#This Row],[Prix unitaire]]</f>
        <v>2852</v>
      </c>
      <c r="E37" s="53"/>
      <c r="F37" s="53"/>
      <c r="G37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Tee-shirt</v>
      </c>
      <c r="H37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M</v>
      </c>
      <c r="I37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Tee-shirt</v>
      </c>
      <c r="J37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M</v>
      </c>
    </row>
    <row r="38" spans="1:10">
      <c r="A38" s="5" t="s">
        <v>229</v>
      </c>
      <c r="B38" s="51">
        <v>67</v>
      </c>
      <c r="C38" s="52">
        <v>49</v>
      </c>
      <c r="D38" s="52">
        <f>_18.Calculer_ce_qui_contient[[#This Row],[Quantité vendue]]*_18.Calculer_ce_qui_contient[[#This Row],[Prix unitaire]]</f>
        <v>3283</v>
      </c>
      <c r="E38" s="53"/>
      <c r="F38" s="53"/>
      <c r="G38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Gilet</v>
      </c>
      <c r="H38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S</v>
      </c>
      <c r="I38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Gilet</v>
      </c>
      <c r="J38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S</v>
      </c>
    </row>
    <row r="39" spans="1:10">
      <c r="A39" s="5" t="s">
        <v>246</v>
      </c>
      <c r="B39" s="51">
        <v>1</v>
      </c>
      <c r="C39" s="52">
        <v>22</v>
      </c>
      <c r="D39" s="52">
        <f>_18.Calculer_ce_qui_contient[[#This Row],[Quantité vendue]]*_18.Calculer_ce_qui_contient[[#This Row],[Prix unitaire]]</f>
        <v>22</v>
      </c>
      <c r="E39" s="53"/>
      <c r="F39" s="53"/>
      <c r="G39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Hoodie</v>
      </c>
      <c r="H39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M</v>
      </c>
      <c r="I39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Hoodie</v>
      </c>
      <c r="J39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M</v>
      </c>
    </row>
    <row r="40" spans="1:10">
      <c r="A40" s="5" t="s">
        <v>234</v>
      </c>
      <c r="B40" s="51">
        <v>21</v>
      </c>
      <c r="C40" s="52">
        <v>10</v>
      </c>
      <c r="D40" s="52">
        <f>_18.Calculer_ce_qui_contient[[#This Row],[Quantité vendue]]*_18.Calculer_ce_qui_contient[[#This Row],[Prix unitaire]]</f>
        <v>210</v>
      </c>
      <c r="E40" s="53"/>
      <c r="F40" s="53"/>
      <c r="G40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Tee-shirt</v>
      </c>
      <c r="H40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S</v>
      </c>
      <c r="I40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Tee-shirt</v>
      </c>
      <c r="J40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S</v>
      </c>
    </row>
    <row r="41" spans="1:10">
      <c r="A41" s="5" t="s">
        <v>228</v>
      </c>
      <c r="B41" s="51">
        <v>31</v>
      </c>
      <c r="C41" s="52">
        <v>49</v>
      </c>
      <c r="D41" s="52">
        <f>_18.Calculer_ce_qui_contient[[#This Row],[Quantité vendue]]*_18.Calculer_ce_qui_contient[[#This Row],[Prix unitaire]]</f>
        <v>1519</v>
      </c>
      <c r="E41" s="53"/>
      <c r="F41" s="53"/>
      <c r="G41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Gilet</v>
      </c>
      <c r="H41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M</v>
      </c>
      <c r="I41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Gilet</v>
      </c>
      <c r="J41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M</v>
      </c>
    </row>
    <row r="42" spans="1:10">
      <c r="A42" s="5" t="s">
        <v>243</v>
      </c>
      <c r="B42" s="51">
        <v>63</v>
      </c>
      <c r="C42" s="52">
        <v>13</v>
      </c>
      <c r="D42" s="52">
        <f>_18.Calculer_ce_qui_contient[[#This Row],[Quantité vendue]]*_18.Calculer_ce_qui_contient[[#This Row],[Prix unitaire]]</f>
        <v>819</v>
      </c>
      <c r="E42" s="53"/>
      <c r="F42" s="53"/>
      <c r="G42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Hoodie</v>
      </c>
      <c r="H42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S</v>
      </c>
      <c r="I42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Hoodie</v>
      </c>
      <c r="J42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S</v>
      </c>
    </row>
    <row r="43" spans="1:10">
      <c r="A43" s="5" t="s">
        <v>235</v>
      </c>
      <c r="B43" s="51">
        <v>77</v>
      </c>
      <c r="C43" s="52">
        <v>13</v>
      </c>
      <c r="D43" s="52">
        <f>_18.Calculer_ce_qui_contient[[#This Row],[Quantité vendue]]*_18.Calculer_ce_qui_contient[[#This Row],[Prix unitaire]]</f>
        <v>1001</v>
      </c>
      <c r="E43" s="53"/>
      <c r="F43" s="53"/>
      <c r="G43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Gilet</v>
      </c>
      <c r="H43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XS</v>
      </c>
      <c r="I43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Gilet</v>
      </c>
      <c r="J43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XS</v>
      </c>
    </row>
    <row r="44" spans="1:10">
      <c r="A44" s="5" t="s">
        <v>234</v>
      </c>
      <c r="B44" s="51">
        <v>10</v>
      </c>
      <c r="C44" s="52">
        <v>19</v>
      </c>
      <c r="D44" s="52">
        <f>_18.Calculer_ce_qui_contient[[#This Row],[Quantité vendue]]*_18.Calculer_ce_qui_contient[[#This Row],[Prix unitaire]]</f>
        <v>190</v>
      </c>
      <c r="E44" s="53"/>
      <c r="F44" s="53"/>
      <c r="G44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Tee-shirt</v>
      </c>
      <c r="H44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S</v>
      </c>
      <c r="I44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Tee-shirt</v>
      </c>
      <c r="J44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S</v>
      </c>
    </row>
    <row r="45" spans="1:10">
      <c r="A45" s="5" t="s">
        <v>245</v>
      </c>
      <c r="B45" s="51">
        <v>44</v>
      </c>
      <c r="C45" s="52">
        <v>26</v>
      </c>
      <c r="D45" s="52">
        <f>_18.Calculer_ce_qui_contient[[#This Row],[Quantité vendue]]*_18.Calculer_ce_qui_contient[[#This Row],[Prix unitaire]]</f>
        <v>1144</v>
      </c>
      <c r="E45" s="53"/>
      <c r="F45" s="53"/>
      <c r="G45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Hoodie</v>
      </c>
      <c r="H45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XL</v>
      </c>
      <c r="I45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Hoodie</v>
      </c>
      <c r="J45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XL</v>
      </c>
    </row>
    <row r="46" spans="1:10">
      <c r="A46" s="5" t="s">
        <v>246</v>
      </c>
      <c r="B46" s="51">
        <v>96</v>
      </c>
      <c r="C46" s="52">
        <v>49</v>
      </c>
      <c r="D46" s="52">
        <f>_18.Calculer_ce_qui_contient[[#This Row],[Quantité vendue]]*_18.Calculer_ce_qui_contient[[#This Row],[Prix unitaire]]</f>
        <v>4704</v>
      </c>
      <c r="E46" s="53"/>
      <c r="F46" s="53"/>
      <c r="G46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Hoodie</v>
      </c>
      <c r="H46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M</v>
      </c>
      <c r="I46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Hoodie</v>
      </c>
      <c r="J46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M</v>
      </c>
    </row>
    <row r="47" spans="1:10">
      <c r="A47" s="5" t="s">
        <v>226</v>
      </c>
      <c r="B47" s="51">
        <v>54</v>
      </c>
      <c r="C47" s="52">
        <v>24</v>
      </c>
      <c r="D47" s="52">
        <f>_18.Calculer_ce_qui_contient[[#This Row],[Quantité vendue]]*_18.Calculer_ce_qui_contient[[#This Row],[Prix unitaire]]</f>
        <v>1296</v>
      </c>
      <c r="E47" s="53"/>
      <c r="F47" s="53"/>
      <c r="G47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Manteau</v>
      </c>
      <c r="H47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S</v>
      </c>
      <c r="I47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Manteau</v>
      </c>
      <c r="J47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S</v>
      </c>
    </row>
    <row r="48" spans="1:10">
      <c r="A48" s="5" t="s">
        <v>236</v>
      </c>
      <c r="B48" s="51">
        <v>47</v>
      </c>
      <c r="C48" s="52">
        <v>31</v>
      </c>
      <c r="D48" s="52">
        <f>_18.Calculer_ce_qui_contient[[#This Row],[Quantité vendue]]*_18.Calculer_ce_qui_contient[[#This Row],[Prix unitaire]]</f>
        <v>1457</v>
      </c>
      <c r="E48" s="53"/>
      <c r="F48" s="53"/>
      <c r="G48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Pull</v>
      </c>
      <c r="H48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S</v>
      </c>
      <c r="I48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Pull</v>
      </c>
      <c r="J48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S</v>
      </c>
    </row>
    <row r="49" spans="1:10">
      <c r="A49" s="5" t="s">
        <v>237</v>
      </c>
      <c r="B49" s="51">
        <v>71</v>
      </c>
      <c r="C49" s="52">
        <v>27</v>
      </c>
      <c r="D49" s="52">
        <f>_18.Calculer_ce_qui_contient[[#This Row],[Quantité vendue]]*_18.Calculer_ce_qui_contient[[#This Row],[Prix unitaire]]</f>
        <v>1917</v>
      </c>
      <c r="E49" s="53"/>
      <c r="F49" s="53"/>
      <c r="G49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Gilet</v>
      </c>
      <c r="H49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XL</v>
      </c>
      <c r="I49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Gilet</v>
      </c>
      <c r="J49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XL</v>
      </c>
    </row>
    <row r="50" spans="1:10">
      <c r="A50" s="5" t="s">
        <v>224</v>
      </c>
      <c r="B50" s="51">
        <v>87</v>
      </c>
      <c r="C50" s="52">
        <v>11</v>
      </c>
      <c r="D50" s="52">
        <f>_18.Calculer_ce_qui_contient[[#This Row],[Quantité vendue]]*_18.Calculer_ce_qui_contient[[#This Row],[Prix unitaire]]</f>
        <v>957</v>
      </c>
      <c r="E50" s="53"/>
      <c r="F50" s="53"/>
      <c r="G50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Pull</v>
      </c>
      <c r="H50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XL</v>
      </c>
      <c r="I50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Pull</v>
      </c>
      <c r="J50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XL</v>
      </c>
    </row>
    <row r="51" spans="1:10">
      <c r="A51" s="5" t="s">
        <v>234</v>
      </c>
      <c r="B51" s="51">
        <v>25</v>
      </c>
      <c r="C51" s="52">
        <v>42</v>
      </c>
      <c r="D51" s="52">
        <f>_18.Calculer_ce_qui_contient[[#This Row],[Quantité vendue]]*_18.Calculer_ce_qui_contient[[#This Row],[Prix unitaire]]</f>
        <v>1050</v>
      </c>
      <c r="E51" s="53"/>
      <c r="F51" s="53"/>
      <c r="G51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Tee-shirt</v>
      </c>
      <c r="H51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S</v>
      </c>
      <c r="I51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Tee-shirt</v>
      </c>
      <c r="J51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S</v>
      </c>
    </row>
    <row r="52" spans="1:10">
      <c r="A52" s="5" t="s">
        <v>246</v>
      </c>
      <c r="B52" s="51">
        <v>100</v>
      </c>
      <c r="C52" s="52">
        <v>31</v>
      </c>
      <c r="D52" s="52">
        <f>_18.Calculer_ce_qui_contient[[#This Row],[Quantité vendue]]*_18.Calculer_ce_qui_contient[[#This Row],[Prix unitaire]]</f>
        <v>3100</v>
      </c>
      <c r="E52" s="53"/>
      <c r="F52" s="53"/>
      <c r="G52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Hoodie</v>
      </c>
      <c r="H52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M</v>
      </c>
      <c r="I52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Hoodie</v>
      </c>
      <c r="J52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M</v>
      </c>
    </row>
    <row r="53" spans="1:10">
      <c r="A53" s="5" t="s">
        <v>223</v>
      </c>
      <c r="B53" s="51">
        <v>86</v>
      </c>
      <c r="C53" s="52">
        <v>26</v>
      </c>
      <c r="D53" s="52">
        <f>_18.Calculer_ce_qui_contient[[#This Row],[Quantité vendue]]*_18.Calculer_ce_qui_contient[[#This Row],[Prix unitaire]]</f>
        <v>2236</v>
      </c>
      <c r="E53" s="53"/>
      <c r="F53" s="53"/>
      <c r="G53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Tee-shirt</v>
      </c>
      <c r="H53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L</v>
      </c>
      <c r="I53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Tee-shirt</v>
      </c>
      <c r="J53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L</v>
      </c>
    </row>
    <row r="54" spans="1:10">
      <c r="A54" s="5" t="s">
        <v>234</v>
      </c>
      <c r="B54" s="51">
        <v>60</v>
      </c>
      <c r="C54" s="52">
        <v>16</v>
      </c>
      <c r="D54" s="52">
        <f>_18.Calculer_ce_qui_contient[[#This Row],[Quantité vendue]]*_18.Calculer_ce_qui_contient[[#This Row],[Prix unitaire]]</f>
        <v>960</v>
      </c>
      <c r="E54" s="53"/>
      <c r="F54" s="53"/>
      <c r="G54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Tee-shirt</v>
      </c>
      <c r="H54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S</v>
      </c>
      <c r="I54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Tee-shirt</v>
      </c>
      <c r="J54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S</v>
      </c>
    </row>
    <row r="55" spans="1:10">
      <c r="A55" s="5" t="s">
        <v>228</v>
      </c>
      <c r="B55" s="51">
        <v>51</v>
      </c>
      <c r="C55" s="52">
        <v>24</v>
      </c>
      <c r="D55" s="52">
        <f>_18.Calculer_ce_qui_contient[[#This Row],[Quantité vendue]]*_18.Calculer_ce_qui_contient[[#This Row],[Prix unitaire]]</f>
        <v>1224</v>
      </c>
      <c r="E55" s="53"/>
      <c r="F55" s="53"/>
      <c r="G55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Gilet</v>
      </c>
      <c r="H55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M</v>
      </c>
      <c r="I55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Gilet</v>
      </c>
      <c r="J55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M</v>
      </c>
    </row>
    <row r="56" spans="1:10">
      <c r="A56" s="5" t="s">
        <v>235</v>
      </c>
      <c r="B56" s="51">
        <v>80</v>
      </c>
      <c r="C56" s="52">
        <v>12</v>
      </c>
      <c r="D56" s="52">
        <f>_18.Calculer_ce_qui_contient[[#This Row],[Quantité vendue]]*_18.Calculer_ce_qui_contient[[#This Row],[Prix unitaire]]</f>
        <v>960</v>
      </c>
      <c r="E56" s="53"/>
      <c r="F56" s="53"/>
      <c r="G56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Gilet</v>
      </c>
      <c r="H56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XS</v>
      </c>
      <c r="I56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Gilet</v>
      </c>
      <c r="J56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XS</v>
      </c>
    </row>
    <row r="57" spans="1:10">
      <c r="A57" s="5" t="s">
        <v>225</v>
      </c>
      <c r="B57" s="51">
        <v>5</v>
      </c>
      <c r="C57" s="52">
        <v>29</v>
      </c>
      <c r="D57" s="52">
        <f>_18.Calculer_ce_qui_contient[[#This Row],[Quantité vendue]]*_18.Calculer_ce_qui_contient[[#This Row],[Prix unitaire]]</f>
        <v>145</v>
      </c>
      <c r="E57" s="53"/>
      <c r="F57" s="53"/>
      <c r="G57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Tee-shirt</v>
      </c>
      <c r="H57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XS</v>
      </c>
      <c r="I57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Tee-shirt</v>
      </c>
      <c r="J57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XS</v>
      </c>
    </row>
    <row r="58" spans="1:10">
      <c r="A58" s="5" t="s">
        <v>246</v>
      </c>
      <c r="B58" s="51">
        <v>45</v>
      </c>
      <c r="C58" s="52">
        <v>48</v>
      </c>
      <c r="D58" s="52">
        <f>_18.Calculer_ce_qui_contient[[#This Row],[Quantité vendue]]*_18.Calculer_ce_qui_contient[[#This Row],[Prix unitaire]]</f>
        <v>2160</v>
      </c>
      <c r="E58" s="53"/>
      <c r="F58" s="53"/>
      <c r="G58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Hoodie</v>
      </c>
      <c r="H58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M</v>
      </c>
      <c r="I58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Hoodie</v>
      </c>
      <c r="J58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M</v>
      </c>
    </row>
    <row r="59" spans="1:10">
      <c r="A59" s="5" t="s">
        <v>235</v>
      </c>
      <c r="B59" s="51">
        <v>24</v>
      </c>
      <c r="C59" s="52">
        <v>16</v>
      </c>
      <c r="D59" s="52">
        <f>_18.Calculer_ce_qui_contient[[#This Row],[Quantité vendue]]*_18.Calculer_ce_qui_contient[[#This Row],[Prix unitaire]]</f>
        <v>384</v>
      </c>
      <c r="E59" s="53"/>
      <c r="F59" s="53"/>
      <c r="G59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Gilet</v>
      </c>
      <c r="H59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XS</v>
      </c>
      <c r="I59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Gilet</v>
      </c>
      <c r="J59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XS</v>
      </c>
    </row>
    <row r="60" spans="1:10">
      <c r="A60" s="5" t="s">
        <v>243</v>
      </c>
      <c r="B60" s="51">
        <v>50</v>
      </c>
      <c r="C60" s="52">
        <v>21</v>
      </c>
      <c r="D60" s="52">
        <f>_18.Calculer_ce_qui_contient[[#This Row],[Quantité vendue]]*_18.Calculer_ce_qui_contient[[#This Row],[Prix unitaire]]</f>
        <v>1050</v>
      </c>
      <c r="E60" s="53"/>
      <c r="F60" s="53"/>
      <c r="G60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Hoodie</v>
      </c>
      <c r="H60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S</v>
      </c>
      <c r="I60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Hoodie</v>
      </c>
      <c r="J60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S</v>
      </c>
    </row>
    <row r="61" spans="1:10">
      <c r="A61" s="5" t="s">
        <v>243</v>
      </c>
      <c r="B61" s="51">
        <v>29</v>
      </c>
      <c r="C61" s="52">
        <v>43</v>
      </c>
      <c r="D61" s="52">
        <f>_18.Calculer_ce_qui_contient[[#This Row],[Quantité vendue]]*_18.Calculer_ce_qui_contient[[#This Row],[Prix unitaire]]</f>
        <v>1247</v>
      </c>
      <c r="E61" s="53"/>
      <c r="F61" s="53"/>
      <c r="G61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Hoodie</v>
      </c>
      <c r="H61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S</v>
      </c>
      <c r="I61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Hoodie</v>
      </c>
      <c r="J61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S</v>
      </c>
    </row>
    <row r="62" spans="1:10">
      <c r="A62" s="5" t="s">
        <v>233</v>
      </c>
      <c r="B62" s="51">
        <v>89</v>
      </c>
      <c r="C62" s="52">
        <v>34</v>
      </c>
      <c r="D62" s="52">
        <f>_18.Calculer_ce_qui_contient[[#This Row],[Quantité vendue]]*_18.Calculer_ce_qui_contient[[#This Row],[Prix unitaire]]</f>
        <v>3026</v>
      </c>
      <c r="E62" s="53"/>
      <c r="F62" s="53"/>
      <c r="G62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Tee-shirt</v>
      </c>
      <c r="H62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M</v>
      </c>
      <c r="I62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Tee-shirt</v>
      </c>
      <c r="J62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M</v>
      </c>
    </row>
    <row r="63" spans="1:10">
      <c r="A63" s="5" t="s">
        <v>236</v>
      </c>
      <c r="B63" s="51">
        <v>86</v>
      </c>
      <c r="C63" s="52">
        <v>14</v>
      </c>
      <c r="D63" s="52">
        <f>_18.Calculer_ce_qui_contient[[#This Row],[Quantité vendue]]*_18.Calculer_ce_qui_contient[[#This Row],[Prix unitaire]]</f>
        <v>1204</v>
      </c>
      <c r="E63" s="53"/>
      <c r="F63" s="53"/>
      <c r="G63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Pull</v>
      </c>
      <c r="H63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S</v>
      </c>
      <c r="I63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Pull</v>
      </c>
      <c r="J63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S</v>
      </c>
    </row>
    <row r="64" spans="1:10">
      <c r="A64" s="5" t="s">
        <v>231</v>
      </c>
      <c r="B64" s="51">
        <v>31</v>
      </c>
      <c r="C64" s="52">
        <v>46</v>
      </c>
      <c r="D64" s="52">
        <f>_18.Calculer_ce_qui_contient[[#This Row],[Quantité vendue]]*_18.Calculer_ce_qui_contient[[#This Row],[Prix unitaire]]</f>
        <v>1426</v>
      </c>
      <c r="E64" s="53"/>
      <c r="F64" s="53"/>
      <c r="G64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Pull</v>
      </c>
      <c r="H64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M</v>
      </c>
      <c r="I64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Pull</v>
      </c>
      <c r="J64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M</v>
      </c>
    </row>
    <row r="65" spans="1:10">
      <c r="A65" s="5" t="s">
        <v>231</v>
      </c>
      <c r="B65" s="51">
        <v>95</v>
      </c>
      <c r="C65" s="52">
        <v>42</v>
      </c>
      <c r="D65" s="52">
        <f>_18.Calculer_ce_qui_contient[[#This Row],[Quantité vendue]]*_18.Calculer_ce_qui_contient[[#This Row],[Prix unitaire]]</f>
        <v>3990</v>
      </c>
      <c r="E65" s="53"/>
      <c r="F65" s="53"/>
      <c r="G65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Pull</v>
      </c>
      <c r="H65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M</v>
      </c>
      <c r="I65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Pull</v>
      </c>
      <c r="J65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M</v>
      </c>
    </row>
    <row r="66" spans="1:10">
      <c r="A66" s="5" t="s">
        <v>229</v>
      </c>
      <c r="B66" s="51">
        <v>44</v>
      </c>
      <c r="C66" s="52">
        <v>17</v>
      </c>
      <c r="D66" s="52">
        <f>_18.Calculer_ce_qui_contient[[#This Row],[Quantité vendue]]*_18.Calculer_ce_qui_contient[[#This Row],[Prix unitaire]]</f>
        <v>748</v>
      </c>
      <c r="E66" s="53"/>
      <c r="F66" s="53"/>
      <c r="G66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Gilet</v>
      </c>
      <c r="H66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S</v>
      </c>
      <c r="I66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Gilet</v>
      </c>
      <c r="J66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S</v>
      </c>
    </row>
    <row r="67" spans="1:10">
      <c r="A67" s="5" t="s">
        <v>225</v>
      </c>
      <c r="B67" s="51">
        <v>69</v>
      </c>
      <c r="C67" s="52">
        <v>49</v>
      </c>
      <c r="D67" s="52">
        <f>_18.Calculer_ce_qui_contient[[#This Row],[Quantité vendue]]*_18.Calculer_ce_qui_contient[[#This Row],[Prix unitaire]]</f>
        <v>3381</v>
      </c>
      <c r="E67" s="53"/>
      <c r="F67" s="53"/>
      <c r="G67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Tee-shirt</v>
      </c>
      <c r="H67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XS</v>
      </c>
      <c r="I67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Tee-shirt</v>
      </c>
      <c r="J67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XS</v>
      </c>
    </row>
    <row r="68" spans="1:10">
      <c r="A68" s="5" t="s">
        <v>223</v>
      </c>
      <c r="B68" s="51">
        <v>71</v>
      </c>
      <c r="C68" s="52">
        <v>42</v>
      </c>
      <c r="D68" s="52">
        <f>_18.Calculer_ce_qui_contient[[#This Row],[Quantité vendue]]*_18.Calculer_ce_qui_contient[[#This Row],[Prix unitaire]]</f>
        <v>2982</v>
      </c>
      <c r="E68" s="53"/>
      <c r="F68" s="53"/>
      <c r="G68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Tee-shirt</v>
      </c>
      <c r="H68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L</v>
      </c>
      <c r="I68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Tee-shirt</v>
      </c>
      <c r="J68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L</v>
      </c>
    </row>
    <row r="69" spans="1:10">
      <c r="A69" s="5" t="s">
        <v>231</v>
      </c>
      <c r="B69" s="51">
        <v>77</v>
      </c>
      <c r="C69" s="52">
        <v>27</v>
      </c>
      <c r="D69" s="52">
        <f>_18.Calculer_ce_qui_contient[[#This Row],[Quantité vendue]]*_18.Calculer_ce_qui_contient[[#This Row],[Prix unitaire]]</f>
        <v>2079</v>
      </c>
      <c r="E69" s="53"/>
      <c r="F69" s="53"/>
      <c r="G69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Pull</v>
      </c>
      <c r="H69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M</v>
      </c>
      <c r="I69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Pull</v>
      </c>
      <c r="J69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M</v>
      </c>
    </row>
    <row r="70" spans="1:10">
      <c r="A70" s="5" t="s">
        <v>233</v>
      </c>
      <c r="B70" s="51">
        <v>94</v>
      </c>
      <c r="C70" s="52">
        <v>35</v>
      </c>
      <c r="D70" s="52">
        <f>_18.Calculer_ce_qui_contient[[#This Row],[Quantité vendue]]*_18.Calculer_ce_qui_contient[[#This Row],[Prix unitaire]]</f>
        <v>3290</v>
      </c>
      <c r="E70" s="53"/>
      <c r="F70" s="53"/>
      <c r="G70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Tee-shirt</v>
      </c>
      <c r="H70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M</v>
      </c>
      <c r="I70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Tee-shirt</v>
      </c>
      <c r="J70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M</v>
      </c>
    </row>
    <row r="71" spans="1:10">
      <c r="A71" s="5" t="s">
        <v>243</v>
      </c>
      <c r="B71" s="51">
        <v>83</v>
      </c>
      <c r="C71" s="52">
        <v>28</v>
      </c>
      <c r="D71" s="52">
        <f>_18.Calculer_ce_qui_contient[[#This Row],[Quantité vendue]]*_18.Calculer_ce_qui_contient[[#This Row],[Prix unitaire]]</f>
        <v>2324</v>
      </c>
      <c r="E71" s="53"/>
      <c r="F71" s="53"/>
      <c r="G71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Hoodie</v>
      </c>
      <c r="H71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S</v>
      </c>
      <c r="I71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Hoodie</v>
      </c>
      <c r="J71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S</v>
      </c>
    </row>
    <row r="72" spans="1:10">
      <c r="A72" s="5" t="s">
        <v>244</v>
      </c>
      <c r="B72" s="51">
        <v>86</v>
      </c>
      <c r="C72" s="52">
        <v>21</v>
      </c>
      <c r="D72" s="52">
        <f>_18.Calculer_ce_qui_contient[[#This Row],[Quantité vendue]]*_18.Calculer_ce_qui_contient[[#This Row],[Prix unitaire]]</f>
        <v>1806</v>
      </c>
      <c r="E72" s="53"/>
      <c r="F72" s="53"/>
      <c r="G72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Hoodie</v>
      </c>
      <c r="H72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XS</v>
      </c>
      <c r="I72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Hoodie</v>
      </c>
      <c r="J72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XS</v>
      </c>
    </row>
    <row r="73" spans="1:10">
      <c r="A73" s="5" t="s">
        <v>238</v>
      </c>
      <c r="B73" s="51">
        <v>83</v>
      </c>
      <c r="C73" s="52">
        <v>22</v>
      </c>
      <c r="D73" s="52">
        <f>_18.Calculer_ce_qui_contient[[#This Row],[Quantité vendue]]*_18.Calculer_ce_qui_contient[[#This Row],[Prix unitaire]]</f>
        <v>1826</v>
      </c>
      <c r="E73" s="53"/>
      <c r="F73" s="53"/>
      <c r="G73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Manteau</v>
      </c>
      <c r="H73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M</v>
      </c>
      <c r="I73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Manteau</v>
      </c>
      <c r="J73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M</v>
      </c>
    </row>
    <row r="74" spans="1:10">
      <c r="A74" s="5" t="s">
        <v>228</v>
      </c>
      <c r="B74" s="51">
        <v>63</v>
      </c>
      <c r="C74" s="52">
        <v>11</v>
      </c>
      <c r="D74" s="52">
        <f>_18.Calculer_ce_qui_contient[[#This Row],[Quantité vendue]]*_18.Calculer_ce_qui_contient[[#This Row],[Prix unitaire]]</f>
        <v>693</v>
      </c>
      <c r="E74" s="53"/>
      <c r="F74" s="53"/>
      <c r="G74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Gilet</v>
      </c>
      <c r="H74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M</v>
      </c>
      <c r="I74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Gilet</v>
      </c>
      <c r="J74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M</v>
      </c>
    </row>
    <row r="75" spans="1:10">
      <c r="A75" s="5" t="s">
        <v>239</v>
      </c>
      <c r="B75" s="51">
        <v>59</v>
      </c>
      <c r="C75" s="52">
        <v>22</v>
      </c>
      <c r="D75" s="52">
        <f>_18.Calculer_ce_qui_contient[[#This Row],[Quantité vendue]]*_18.Calculer_ce_qui_contient[[#This Row],[Prix unitaire]]</f>
        <v>1298</v>
      </c>
      <c r="E75" s="53"/>
      <c r="F75" s="53"/>
      <c r="G75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Pull</v>
      </c>
      <c r="H75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L</v>
      </c>
      <c r="I75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Pull</v>
      </c>
      <c r="J75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L</v>
      </c>
    </row>
    <row r="76" spans="1:10">
      <c r="A76" s="5" t="s">
        <v>239</v>
      </c>
      <c r="B76" s="51">
        <v>44</v>
      </c>
      <c r="C76" s="52">
        <v>12</v>
      </c>
      <c r="D76" s="52">
        <f>_18.Calculer_ce_qui_contient[[#This Row],[Quantité vendue]]*_18.Calculer_ce_qui_contient[[#This Row],[Prix unitaire]]</f>
        <v>528</v>
      </c>
      <c r="E76" s="53"/>
      <c r="F76" s="53"/>
      <c r="G76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Pull</v>
      </c>
      <c r="H76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L</v>
      </c>
      <c r="I76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Pull</v>
      </c>
      <c r="J76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L</v>
      </c>
    </row>
    <row r="77" spans="1:10">
      <c r="A77" s="5" t="s">
        <v>236</v>
      </c>
      <c r="B77" s="51">
        <v>21</v>
      </c>
      <c r="C77" s="52">
        <v>29</v>
      </c>
      <c r="D77" s="52">
        <f>_18.Calculer_ce_qui_contient[[#This Row],[Quantité vendue]]*_18.Calculer_ce_qui_contient[[#This Row],[Prix unitaire]]</f>
        <v>609</v>
      </c>
      <c r="E77" s="53"/>
      <c r="F77" s="53"/>
      <c r="G77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Pull</v>
      </c>
      <c r="H77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S</v>
      </c>
      <c r="I77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Pull</v>
      </c>
      <c r="J77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S</v>
      </c>
    </row>
    <row r="78" spans="1:10">
      <c r="A78" s="5" t="s">
        <v>230</v>
      </c>
      <c r="B78" s="51">
        <v>15</v>
      </c>
      <c r="C78" s="52">
        <v>37</v>
      </c>
      <c r="D78" s="52">
        <f>_18.Calculer_ce_qui_contient[[#This Row],[Quantité vendue]]*_18.Calculer_ce_qui_contient[[#This Row],[Prix unitaire]]</f>
        <v>555</v>
      </c>
      <c r="E78" s="53"/>
      <c r="F78" s="53"/>
      <c r="G78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Gilet</v>
      </c>
      <c r="H78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L</v>
      </c>
      <c r="I78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Gilet</v>
      </c>
      <c r="J78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L</v>
      </c>
    </row>
    <row r="79" spans="1:10">
      <c r="A79" s="5" t="s">
        <v>240</v>
      </c>
      <c r="B79" s="51">
        <v>17</v>
      </c>
      <c r="C79" s="52">
        <v>29</v>
      </c>
      <c r="D79" s="52">
        <f>_18.Calculer_ce_qui_contient[[#This Row],[Quantité vendue]]*_18.Calculer_ce_qui_contient[[#This Row],[Prix unitaire]]</f>
        <v>493</v>
      </c>
      <c r="E79" s="53"/>
      <c r="F79" s="53"/>
      <c r="G79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Tee-shirt</v>
      </c>
      <c r="H79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XL</v>
      </c>
      <c r="I79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Tee-shirt</v>
      </c>
      <c r="J79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XL</v>
      </c>
    </row>
    <row r="80" spans="1:10">
      <c r="A80" s="5" t="s">
        <v>234</v>
      </c>
      <c r="B80" s="51">
        <v>28</v>
      </c>
      <c r="C80" s="52">
        <v>24</v>
      </c>
      <c r="D80" s="52">
        <f>_18.Calculer_ce_qui_contient[[#This Row],[Quantité vendue]]*_18.Calculer_ce_qui_contient[[#This Row],[Prix unitaire]]</f>
        <v>672</v>
      </c>
      <c r="E80" s="53"/>
      <c r="F80" s="53"/>
      <c r="G80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Tee-shirt</v>
      </c>
      <c r="H80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S</v>
      </c>
      <c r="I80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Tee-shirt</v>
      </c>
      <c r="J80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S</v>
      </c>
    </row>
    <row r="81" spans="1:10">
      <c r="A81" s="5" t="s">
        <v>235</v>
      </c>
      <c r="B81" s="51">
        <v>9</v>
      </c>
      <c r="C81" s="52">
        <v>33</v>
      </c>
      <c r="D81" s="52">
        <f>_18.Calculer_ce_qui_contient[[#This Row],[Quantité vendue]]*_18.Calculer_ce_qui_contient[[#This Row],[Prix unitaire]]</f>
        <v>297</v>
      </c>
      <c r="E81" s="53"/>
      <c r="F81" s="53"/>
      <c r="G81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Gilet</v>
      </c>
      <c r="H81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XS</v>
      </c>
      <c r="I81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Gilet</v>
      </c>
      <c r="J81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XS</v>
      </c>
    </row>
    <row r="82" spans="1:10">
      <c r="A82" s="5" t="s">
        <v>241</v>
      </c>
      <c r="B82" s="51">
        <v>100</v>
      </c>
      <c r="C82" s="52">
        <v>24</v>
      </c>
      <c r="D82" s="52">
        <f>_18.Calculer_ce_qui_contient[[#This Row],[Quantité vendue]]*_18.Calculer_ce_qui_contient[[#This Row],[Prix unitaire]]</f>
        <v>2400</v>
      </c>
      <c r="E82" s="53"/>
      <c r="F82" s="53"/>
      <c r="G82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Manteau</v>
      </c>
      <c r="H82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L</v>
      </c>
      <c r="I82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Manteau</v>
      </c>
      <c r="J82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L</v>
      </c>
    </row>
    <row r="83" spans="1:10">
      <c r="A83" s="5" t="s">
        <v>233</v>
      </c>
      <c r="B83" s="51">
        <v>6</v>
      </c>
      <c r="C83" s="52">
        <v>13</v>
      </c>
      <c r="D83" s="52">
        <f>_18.Calculer_ce_qui_contient[[#This Row],[Quantité vendue]]*_18.Calculer_ce_qui_contient[[#This Row],[Prix unitaire]]</f>
        <v>78</v>
      </c>
      <c r="E83" s="53"/>
      <c r="F83" s="53"/>
      <c r="G83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Tee-shirt</v>
      </c>
      <c r="H83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M</v>
      </c>
      <c r="I83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Tee-shirt</v>
      </c>
      <c r="J83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M</v>
      </c>
    </row>
    <row r="84" spans="1:10">
      <c r="A84" s="5" t="s">
        <v>240</v>
      </c>
      <c r="B84" s="51">
        <v>81</v>
      </c>
      <c r="C84" s="52">
        <v>45</v>
      </c>
      <c r="D84" s="52">
        <f>_18.Calculer_ce_qui_contient[[#This Row],[Quantité vendue]]*_18.Calculer_ce_qui_contient[[#This Row],[Prix unitaire]]</f>
        <v>3645</v>
      </c>
      <c r="E84" s="53"/>
      <c r="F84" s="53"/>
      <c r="G84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Tee-shirt</v>
      </c>
      <c r="H84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XL</v>
      </c>
      <c r="I84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Tee-shirt</v>
      </c>
      <c r="J84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XL</v>
      </c>
    </row>
    <row r="85" spans="1:10">
      <c r="A85" s="5" t="s">
        <v>227</v>
      </c>
      <c r="B85" s="51">
        <v>92</v>
      </c>
      <c r="C85" s="52">
        <v>31</v>
      </c>
      <c r="D85" s="52">
        <f>_18.Calculer_ce_qui_contient[[#This Row],[Quantité vendue]]*_18.Calculer_ce_qui_contient[[#This Row],[Prix unitaire]]</f>
        <v>2852</v>
      </c>
      <c r="E85" s="53"/>
      <c r="F85" s="53"/>
      <c r="G85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Pull</v>
      </c>
      <c r="H85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XS</v>
      </c>
      <c r="I85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Pull</v>
      </c>
      <c r="J85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XS</v>
      </c>
    </row>
    <row r="86" spans="1:10">
      <c r="A86" s="5" t="s">
        <v>234</v>
      </c>
      <c r="B86" s="51">
        <v>66</v>
      </c>
      <c r="C86" s="52">
        <v>50</v>
      </c>
      <c r="D86" s="52">
        <f>_18.Calculer_ce_qui_contient[[#This Row],[Quantité vendue]]*_18.Calculer_ce_qui_contient[[#This Row],[Prix unitaire]]</f>
        <v>3300</v>
      </c>
      <c r="E86" s="53"/>
      <c r="F86" s="53"/>
      <c r="G86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Tee-shirt</v>
      </c>
      <c r="H86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S</v>
      </c>
      <c r="I86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Tee-shirt</v>
      </c>
      <c r="J86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S</v>
      </c>
    </row>
    <row r="87" spans="1:10">
      <c r="A87" s="5" t="s">
        <v>237</v>
      </c>
      <c r="B87" s="51">
        <v>36</v>
      </c>
      <c r="C87" s="52">
        <v>21</v>
      </c>
      <c r="D87" s="52">
        <f>_18.Calculer_ce_qui_contient[[#This Row],[Quantité vendue]]*_18.Calculer_ce_qui_contient[[#This Row],[Prix unitaire]]</f>
        <v>756</v>
      </c>
      <c r="E87" s="53"/>
      <c r="F87" s="53"/>
      <c r="G87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Gilet</v>
      </c>
      <c r="H87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XL</v>
      </c>
      <c r="I87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Gilet</v>
      </c>
      <c r="J87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XL</v>
      </c>
    </row>
    <row r="88" spans="1:10">
      <c r="A88" s="5" t="s">
        <v>238</v>
      </c>
      <c r="B88" s="51">
        <v>64</v>
      </c>
      <c r="C88" s="52">
        <v>35</v>
      </c>
      <c r="D88" s="52">
        <f>_18.Calculer_ce_qui_contient[[#This Row],[Quantité vendue]]*_18.Calculer_ce_qui_contient[[#This Row],[Prix unitaire]]</f>
        <v>2240</v>
      </c>
      <c r="E88" s="53"/>
      <c r="F88" s="53"/>
      <c r="G88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Manteau</v>
      </c>
      <c r="H88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M</v>
      </c>
      <c r="I88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Manteau</v>
      </c>
      <c r="J88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M</v>
      </c>
    </row>
    <row r="89" spans="1:10">
      <c r="A89" s="5" t="s">
        <v>225</v>
      </c>
      <c r="B89" s="51">
        <v>35</v>
      </c>
      <c r="C89" s="52">
        <v>31</v>
      </c>
      <c r="D89" s="52">
        <f>_18.Calculer_ce_qui_contient[[#This Row],[Quantité vendue]]*_18.Calculer_ce_qui_contient[[#This Row],[Prix unitaire]]</f>
        <v>1085</v>
      </c>
      <c r="E89" s="53"/>
      <c r="F89" s="53"/>
      <c r="G89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Tee-shirt</v>
      </c>
      <c r="H89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XS</v>
      </c>
      <c r="I89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Tee-shirt</v>
      </c>
      <c r="J89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XS</v>
      </c>
    </row>
    <row r="90" spans="1:10">
      <c r="A90" s="5" t="s">
        <v>231</v>
      </c>
      <c r="B90" s="51">
        <v>37</v>
      </c>
      <c r="C90" s="52">
        <v>40</v>
      </c>
      <c r="D90" s="52">
        <f>_18.Calculer_ce_qui_contient[[#This Row],[Quantité vendue]]*_18.Calculer_ce_qui_contient[[#This Row],[Prix unitaire]]</f>
        <v>1480</v>
      </c>
      <c r="E90" s="53"/>
      <c r="F90" s="53"/>
      <c r="G90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Pull</v>
      </c>
      <c r="H90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M</v>
      </c>
      <c r="I90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Pull</v>
      </c>
      <c r="J90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M</v>
      </c>
    </row>
    <row r="91" spans="1:10">
      <c r="A91" s="5" t="s">
        <v>236</v>
      </c>
      <c r="B91" s="51">
        <v>96</v>
      </c>
      <c r="C91" s="52">
        <v>28</v>
      </c>
      <c r="D91" s="52">
        <f>_18.Calculer_ce_qui_contient[[#This Row],[Quantité vendue]]*_18.Calculer_ce_qui_contient[[#This Row],[Prix unitaire]]</f>
        <v>2688</v>
      </c>
      <c r="E91" s="53"/>
      <c r="F91" s="53"/>
      <c r="G91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Pull</v>
      </c>
      <c r="H91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S</v>
      </c>
      <c r="I91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Pull</v>
      </c>
      <c r="J91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S</v>
      </c>
    </row>
    <row r="92" spans="1:10">
      <c r="A92" s="5" t="s">
        <v>245</v>
      </c>
      <c r="B92" s="51">
        <v>21</v>
      </c>
      <c r="C92" s="52">
        <v>50</v>
      </c>
      <c r="D92" s="52">
        <f>_18.Calculer_ce_qui_contient[[#This Row],[Quantité vendue]]*_18.Calculer_ce_qui_contient[[#This Row],[Prix unitaire]]</f>
        <v>1050</v>
      </c>
      <c r="E92" s="53"/>
      <c r="F92" s="53"/>
      <c r="G92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Hoodie</v>
      </c>
      <c r="H92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XL</v>
      </c>
      <c r="I92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Hoodie</v>
      </c>
      <c r="J92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XL</v>
      </c>
    </row>
    <row r="93" spans="1:10">
      <c r="A93" s="5" t="s">
        <v>224</v>
      </c>
      <c r="B93" s="51">
        <v>16</v>
      </c>
      <c r="C93" s="52">
        <v>20</v>
      </c>
      <c r="D93" s="52">
        <f>_18.Calculer_ce_qui_contient[[#This Row],[Quantité vendue]]*_18.Calculer_ce_qui_contient[[#This Row],[Prix unitaire]]</f>
        <v>320</v>
      </c>
      <c r="E93" s="53"/>
      <c r="F93" s="53"/>
      <c r="G93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Pull</v>
      </c>
      <c r="H93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XL</v>
      </c>
      <c r="I93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Pull</v>
      </c>
      <c r="J93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XL</v>
      </c>
    </row>
    <row r="94" spans="1:10">
      <c r="A94" s="5" t="s">
        <v>235</v>
      </c>
      <c r="B94" s="51">
        <v>81</v>
      </c>
      <c r="C94" s="52">
        <v>21</v>
      </c>
      <c r="D94" s="52">
        <f>_18.Calculer_ce_qui_contient[[#This Row],[Quantité vendue]]*_18.Calculer_ce_qui_contient[[#This Row],[Prix unitaire]]</f>
        <v>1701</v>
      </c>
      <c r="E94" s="53"/>
      <c r="F94" s="53"/>
      <c r="G94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Gilet</v>
      </c>
      <c r="H94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XS</v>
      </c>
      <c r="I94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Gilet</v>
      </c>
      <c r="J94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XS</v>
      </c>
    </row>
    <row r="95" spans="1:10">
      <c r="A95" s="5" t="s">
        <v>231</v>
      </c>
      <c r="B95" s="51">
        <v>37</v>
      </c>
      <c r="C95" s="52">
        <v>19</v>
      </c>
      <c r="D95" s="52">
        <f>_18.Calculer_ce_qui_contient[[#This Row],[Quantité vendue]]*_18.Calculer_ce_qui_contient[[#This Row],[Prix unitaire]]</f>
        <v>703</v>
      </c>
      <c r="E95" s="53"/>
      <c r="F95" s="53"/>
      <c r="G95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Pull</v>
      </c>
      <c r="H95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M</v>
      </c>
      <c r="I95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Pull</v>
      </c>
      <c r="J95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M</v>
      </c>
    </row>
    <row r="96" spans="1:10">
      <c r="A96" s="5" t="s">
        <v>229</v>
      </c>
      <c r="B96" s="51">
        <v>12</v>
      </c>
      <c r="C96" s="52">
        <v>21</v>
      </c>
      <c r="D96" s="52">
        <f>_18.Calculer_ce_qui_contient[[#This Row],[Quantité vendue]]*_18.Calculer_ce_qui_contient[[#This Row],[Prix unitaire]]</f>
        <v>252</v>
      </c>
      <c r="E96" s="53"/>
      <c r="F96" s="53"/>
      <c r="G96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Gilet</v>
      </c>
      <c r="H96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S</v>
      </c>
      <c r="I96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Gilet</v>
      </c>
      <c r="J96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S</v>
      </c>
    </row>
    <row r="97" spans="1:10">
      <c r="A97" s="5" t="s">
        <v>242</v>
      </c>
      <c r="B97" s="51">
        <v>40</v>
      </c>
      <c r="C97" s="52">
        <v>28</v>
      </c>
      <c r="D97" s="52">
        <f>_18.Calculer_ce_qui_contient[[#This Row],[Quantité vendue]]*_18.Calculer_ce_qui_contient[[#This Row],[Prix unitaire]]</f>
        <v>1120</v>
      </c>
      <c r="E97" s="53"/>
      <c r="F97" s="53"/>
      <c r="G97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Manteau</v>
      </c>
      <c r="H97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XS</v>
      </c>
      <c r="I97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Manteau</v>
      </c>
      <c r="J97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XS</v>
      </c>
    </row>
    <row r="98" spans="1:10">
      <c r="A98" s="5" t="s">
        <v>244</v>
      </c>
      <c r="B98" s="51">
        <v>14</v>
      </c>
      <c r="C98" s="52">
        <v>28</v>
      </c>
      <c r="D98" s="52">
        <f>_18.Calculer_ce_qui_contient[[#This Row],[Quantité vendue]]*_18.Calculer_ce_qui_contient[[#This Row],[Prix unitaire]]</f>
        <v>392</v>
      </c>
      <c r="E98" s="53"/>
      <c r="F98" s="53"/>
      <c r="G98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Hoodie</v>
      </c>
      <c r="H98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XS</v>
      </c>
      <c r="I98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Hoodie</v>
      </c>
      <c r="J98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XS</v>
      </c>
    </row>
    <row r="99" spans="1:10">
      <c r="A99" s="5" t="s">
        <v>233</v>
      </c>
      <c r="B99" s="51">
        <v>81</v>
      </c>
      <c r="C99" s="52">
        <v>14</v>
      </c>
      <c r="D99" s="52">
        <f>_18.Calculer_ce_qui_contient[[#This Row],[Quantité vendue]]*_18.Calculer_ce_qui_contient[[#This Row],[Prix unitaire]]</f>
        <v>1134</v>
      </c>
      <c r="E99" s="53"/>
      <c r="F99" s="53"/>
      <c r="G99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Tee-shirt</v>
      </c>
      <c r="H99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M</v>
      </c>
      <c r="I99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Tee-shirt</v>
      </c>
      <c r="J99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M</v>
      </c>
    </row>
    <row r="100" spans="1:10">
      <c r="A100" s="5" t="s">
        <v>232</v>
      </c>
      <c r="B100" s="51">
        <v>66</v>
      </c>
      <c r="C100" s="52">
        <v>44</v>
      </c>
      <c r="D100" s="52">
        <f>_18.Calculer_ce_qui_contient[[#This Row],[Quantité vendue]]*_18.Calculer_ce_qui_contient[[#This Row],[Prix unitaire]]</f>
        <v>2904</v>
      </c>
      <c r="E100" s="53"/>
      <c r="F100" s="53"/>
      <c r="G100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Manteau</v>
      </c>
      <c r="H100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XL</v>
      </c>
      <c r="I100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Manteau</v>
      </c>
      <c r="J100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XL</v>
      </c>
    </row>
    <row r="101" spans="1:10">
      <c r="A101" s="5" t="s">
        <v>237</v>
      </c>
      <c r="B101" s="51">
        <v>13</v>
      </c>
      <c r="C101" s="52">
        <v>36</v>
      </c>
      <c r="D101" s="52">
        <f>_18.Calculer_ce_qui_contient[[#This Row],[Quantité vendue]]*_18.Calculer_ce_qui_contient[[#This Row],[Prix unitaire]]</f>
        <v>468</v>
      </c>
      <c r="E101" s="53"/>
      <c r="F101" s="53"/>
      <c r="G101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Gilet</v>
      </c>
      <c r="H101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XL</v>
      </c>
      <c r="I101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Gilet</v>
      </c>
      <c r="J101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XL</v>
      </c>
    </row>
    <row r="102" spans="1:10">
      <c r="A102" s="5" t="s">
        <v>235</v>
      </c>
      <c r="B102" s="51">
        <v>56</v>
      </c>
      <c r="C102" s="52">
        <v>18</v>
      </c>
      <c r="D102" s="52">
        <f>_18.Calculer_ce_qui_contient[[#This Row],[Quantité vendue]]*_18.Calculer_ce_qui_contient[[#This Row],[Prix unitaire]]</f>
        <v>1008</v>
      </c>
      <c r="E102" s="53"/>
      <c r="F102" s="53"/>
      <c r="G102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Gilet</v>
      </c>
      <c r="H102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XS</v>
      </c>
      <c r="I102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Gilet</v>
      </c>
      <c r="J102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XS</v>
      </c>
    </row>
    <row r="103" spans="1:10">
      <c r="A103" s="5" t="s">
        <v>234</v>
      </c>
      <c r="B103" s="51">
        <v>34</v>
      </c>
      <c r="C103" s="52">
        <v>27</v>
      </c>
      <c r="D103" s="52">
        <f>_18.Calculer_ce_qui_contient[[#This Row],[Quantité vendue]]*_18.Calculer_ce_qui_contient[[#This Row],[Prix unitaire]]</f>
        <v>918</v>
      </c>
      <c r="E103" s="53"/>
      <c r="F103" s="53"/>
      <c r="G103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Tee-shirt</v>
      </c>
      <c r="H103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S</v>
      </c>
      <c r="I103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Tee-shirt</v>
      </c>
      <c r="J103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S</v>
      </c>
    </row>
    <row r="104" spans="1:10">
      <c r="A104" s="5" t="s">
        <v>230</v>
      </c>
      <c r="B104" s="51">
        <v>86</v>
      </c>
      <c r="C104" s="52">
        <v>42</v>
      </c>
      <c r="D104" s="52">
        <f>_18.Calculer_ce_qui_contient[[#This Row],[Quantité vendue]]*_18.Calculer_ce_qui_contient[[#This Row],[Prix unitaire]]</f>
        <v>3612</v>
      </c>
      <c r="E104" s="53"/>
      <c r="F104" s="53"/>
      <c r="G104" s="13" t="str">
        <f>IF(COUNTIFS(_18.Calculer_ce_qui_contient[[#This Row],[Produit vendu]],"Tee-shirt*")=1,_xlfn.TEXTBEFORE(_18.Calculer_ce_qui_contient[[#This Row],[Produit vendu]],"-",2),_xlfn.TEXTBEFORE(_18.Calculer_ce_qui_contient[[#This Row],[Produit vendu]],"-"))</f>
        <v>Gilet</v>
      </c>
      <c r="H104" s="13" t="str">
        <f>IF(COUNTIFS(_18.Calculer_ce_qui_contient[[#This Row],[Produit vendu]],"Tee-shirt*")=1,_xlfn.TEXTAFTER(_18.Calculer_ce_qui_contient[[#This Row],[Produit vendu]],"-",2),_xlfn.TEXTAFTER(_18.Calculer_ce_qui_contient[[#This Row],[Produit vendu]],"-"))</f>
        <v>L</v>
      </c>
      <c r="I104" s="13" t="str">
        <f>IF(COUNTIFS(_18.Calculer_ce_qui_contient[[#This Row],[Produit vendu]],"Tee-shirt*")=1,LEFT(_18.Calculer_ce_qui_contient[[#This Row],[Produit vendu]],FIND("-",_18.Calculer_ce_qui_contient[[#This Row],[Produit vendu]],5)-1),LEFT(_18.Calculer_ce_qui_contient[[#This Row],[Produit vendu]],FIND("-",_18.Calculer_ce_qui_contient[[#This Row],[Produit vendu]])-1))</f>
        <v>Gilet</v>
      </c>
      <c r="J104" s="13" t="str">
        <f>IF(COUNTIFS(_18.Calculer_ce_qui_contient[[#This Row],[Produit vendu]],"Tee-shirt*")=1,RIGHT(_18.Calculer_ce_qui_contient[[#This Row],[Produit vendu]],LEN(_18.Calculer_ce_qui_contient[[#This Row],[Produit vendu]])-FIND("-",_18.Calculer_ce_qui_contient[[#This Row],[Produit vendu]],5)),RIGHT(_18.Calculer_ce_qui_contient[[#This Row],[Produit vendu]],LEN(_18.Calculer_ce_qui_contient[[#This Row],[Produit vendu]])-FIND("-",_18.Calculer_ce_qui_contient[[#This Row],[Produit vendu]])))</f>
        <v>L</v>
      </c>
    </row>
  </sheetData>
  <pageMargins left="0.7" right="0.7" top="0.75" bottom="0.75" header="0.3" footer="0.3"/>
  <pageSetup paperSize="9" orientation="portrait" horizontalDpi="90" verticalDpi="90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500AA-4CBC-584B-AA91-3A227180E95C}">
  <sheetPr>
    <tabColor rgb="FF7030A0"/>
  </sheetPr>
  <dimension ref="A1:E25"/>
  <sheetViews>
    <sheetView showGridLines="0" topLeftCell="A4" workbookViewId="0">
      <selection activeCell="G11" sqref="G11"/>
    </sheetView>
  </sheetViews>
  <sheetFormatPr baseColWidth="10" defaultColWidth="12.109375" defaultRowHeight="14.4"/>
  <cols>
    <col min="1" max="1" width="36" style="1" customWidth="1"/>
    <col min="2" max="2" width="25.77734375" style="1" customWidth="1"/>
    <col min="3" max="3" width="35.77734375" style="1" customWidth="1"/>
    <col min="4" max="5" width="25.77734375" style="1" customWidth="1"/>
    <col min="6" max="16384" width="12.109375" style="1"/>
  </cols>
  <sheetData>
    <row r="1" spans="1:5">
      <c r="A1" s="29" t="s">
        <v>132</v>
      </c>
      <c r="B1" s="29"/>
      <c r="C1" s="29"/>
      <c r="D1" s="29"/>
      <c r="E1" s="30"/>
    </row>
    <row r="2" spans="1:5">
      <c r="A2" s="31" t="s">
        <v>1117</v>
      </c>
      <c r="B2" s="31"/>
      <c r="C2" s="31"/>
      <c r="D2" s="31"/>
      <c r="E2" s="32"/>
    </row>
    <row r="3" spans="1:5">
      <c r="A3" s="31" t="s">
        <v>1118</v>
      </c>
      <c r="B3" s="31"/>
      <c r="C3" s="31"/>
      <c r="D3" s="31"/>
      <c r="E3" s="32"/>
    </row>
    <row r="4" spans="1:5">
      <c r="A4" s="42" t="s">
        <v>306</v>
      </c>
      <c r="B4" s="31"/>
      <c r="C4" s="31"/>
      <c r="D4" s="31"/>
      <c r="E4" s="32"/>
    </row>
    <row r="6" spans="1:5" ht="28.8">
      <c r="A6" s="1" t="s">
        <v>289</v>
      </c>
      <c r="B6" s="1" t="s">
        <v>288</v>
      </c>
      <c r="C6" s="43" t="s">
        <v>335</v>
      </c>
      <c r="D6" s="27" t="s">
        <v>304</v>
      </c>
      <c r="E6" s="27" t="s">
        <v>305</v>
      </c>
    </row>
    <row r="7" spans="1:5">
      <c r="A7" s="110" t="s">
        <v>330</v>
      </c>
      <c r="B7" s="53" t="str">
        <f>IF(OR(COUNTIF(SIContient[[#This Row],[Commentaire]],"*90*"),COUNTIF(SIContient[[#This Row],[Commentaire]],"*3000*"),COUNTIF(SIContient[[#This Row],[Commentaire]],"*1000*"))=TRUE,"Valide","Non Valide")</f>
        <v>Valide</v>
      </c>
      <c r="C7" s="67" t="s">
        <v>330</v>
      </c>
      <c r="D7" s="13" t="str">
        <f>IF(OR(ISNUMBER(SEARCH("*3000*",SIContient[[#This Row],[Données converties en texte]])),ISNUMBER(SEARCH("*1000*",SIContient[[#This Row],[Données converties en texte]])),ISNUMBER(SEARCH("*90*",SIContient[[#This Row],[Données converties en texte]]))),"Valide","Non valide")</f>
        <v>Valide</v>
      </c>
      <c r="E7" s="13" t="str">
        <f>IF(OR(COUNTIFS(SIContient[[#This Row],[Données converties en texte]],"*3000*")=1,COUNTIFS(SIContient[[#This Row],[Données converties en texte]],"*1000*")=1,COUNTIFS(SIContient[[#This Row],[Données converties en texte]],"*90*")=1),"Valide","Non valide")</f>
        <v>Valide</v>
      </c>
    </row>
    <row r="8" spans="1:5">
      <c r="A8" s="110" t="s">
        <v>331</v>
      </c>
      <c r="B8" s="53" t="str">
        <f>IF(OR(COUNTIF(SIContient[[#This Row],[Commentaire]],"*90*"),COUNTIF(SIContient[[#This Row],[Commentaire]],"*3000*"),COUNTIF(SIContient[[#This Row],[Commentaire]],"*1000*"))=TRUE,"Valide","Non Valide")</f>
        <v>Valide</v>
      </c>
      <c r="C8" s="67" t="s">
        <v>331</v>
      </c>
      <c r="D8" s="13" t="str">
        <f>IF(OR(ISNUMBER(SEARCH("*3000*",SIContient[[#This Row],[Données converties en texte]])),ISNUMBER(SEARCH("*1000*",SIContient[[#This Row],[Données converties en texte]])),ISNUMBER(SEARCH("*90*",SIContient[[#This Row],[Données converties en texte]]))),"Valide","Non valide")</f>
        <v>Valide</v>
      </c>
      <c r="E8" s="13" t="str">
        <f>IF(OR(COUNTIFS(SIContient[[#This Row],[Données converties en texte]],"*3000*")=1,COUNTIFS(SIContient[[#This Row],[Données converties en texte]],"*1000*")=1,COUNTIFS(SIContient[[#This Row],[Données converties en texte]],"*90*")=1),"Valide","Non valide")</f>
        <v>Valide</v>
      </c>
    </row>
    <row r="9" spans="1:5">
      <c r="A9" s="110" t="s">
        <v>332</v>
      </c>
      <c r="B9" s="53" t="str">
        <f>IF(OR(COUNTIF(SIContient[[#This Row],[Commentaire]],"*90*"),COUNTIF(SIContient[[#This Row],[Commentaire]],"*3000*"),COUNTIF(SIContient[[#This Row],[Commentaire]],"*1000*"))=TRUE,"Valide","Non Valide")</f>
        <v>Non Valide</v>
      </c>
      <c r="C9" s="67" t="s">
        <v>332</v>
      </c>
      <c r="D9" s="13" t="str">
        <f>IF(OR(ISNUMBER(SEARCH("*3000*",SIContient[[#This Row],[Données converties en texte]])),ISNUMBER(SEARCH("*1000*",SIContient[[#This Row],[Données converties en texte]])),ISNUMBER(SEARCH("*90*",SIContient[[#This Row],[Données converties en texte]]))),"Valide","Non valide")</f>
        <v>Non valide</v>
      </c>
      <c r="E9" s="13" t="str">
        <f>IF(OR(COUNTIFS(SIContient[[#This Row],[Données converties en texte]],"*3000*")=1,COUNTIFS(SIContient[[#This Row],[Données converties en texte]],"*1000*")=1,COUNTIFS(SIContient[[#This Row],[Données converties en texte]],"*90*")=1),"Valide","Non valide")</f>
        <v>Non valide</v>
      </c>
    </row>
    <row r="10" spans="1:5">
      <c r="A10" s="110" t="s">
        <v>333</v>
      </c>
      <c r="B10" s="53" t="str">
        <f>IF(OR(COUNTIF(SIContient[[#This Row],[Commentaire]],"*90*"),COUNTIF(SIContient[[#This Row],[Commentaire]],"*3000*"),COUNTIF(SIContient[[#This Row],[Commentaire]],"*1000*"))=TRUE,"Valide","Non Valide")</f>
        <v>Valide</v>
      </c>
      <c r="C10" s="67" t="s">
        <v>333</v>
      </c>
      <c r="D10" s="13" t="str">
        <f>IF(OR(ISNUMBER(SEARCH("*3000*",SIContient[[#This Row],[Données converties en texte]])),ISNUMBER(SEARCH("*1000*",SIContient[[#This Row],[Données converties en texte]])),ISNUMBER(SEARCH("*90*",SIContient[[#This Row],[Données converties en texte]]))),"Valide","Non valide")</f>
        <v>Valide</v>
      </c>
      <c r="E10" s="13" t="str">
        <f>IF(OR(COUNTIFS(SIContient[[#This Row],[Données converties en texte]],"*3000*")=1,COUNTIFS(SIContient[[#This Row],[Données converties en texte]],"*1000*")=1,COUNTIFS(SIContient[[#This Row],[Données converties en texte]],"*90*")=1),"Valide","Non valide")</f>
        <v>Valide</v>
      </c>
    </row>
    <row r="11" spans="1:5">
      <c r="A11" s="110" t="s">
        <v>302</v>
      </c>
      <c r="B11" s="53" t="str">
        <f>IF(OR(COUNTIF(SIContient[[#This Row],[Commentaire]],"*90*"),COUNTIF(SIContient[[#This Row],[Commentaire]],"*3000*"),COUNTIF(SIContient[[#This Row],[Commentaire]],"*1000*"))=TRUE,"Valide","Non Valide")</f>
        <v>Non Valide</v>
      </c>
      <c r="C11" s="67" t="s">
        <v>302</v>
      </c>
      <c r="D11" s="13" t="str">
        <f>IF(OR(ISNUMBER(SEARCH("*3000*",SIContient[[#This Row],[Données converties en texte]])),ISNUMBER(SEARCH("*1000*",SIContient[[#This Row],[Données converties en texte]])),ISNUMBER(SEARCH("*90*",SIContient[[#This Row],[Données converties en texte]]))),"Valide","Non valide")</f>
        <v>Non valide</v>
      </c>
      <c r="E11" s="13" t="str">
        <f>IF(OR(COUNTIFS(SIContient[[#This Row],[Données converties en texte]],"*3000*")=1,COUNTIFS(SIContient[[#This Row],[Données converties en texte]],"*1000*")=1,COUNTIFS(SIContient[[#This Row],[Données converties en texte]],"*90*")=1),"Valide","Non valide")</f>
        <v>Non valide</v>
      </c>
    </row>
    <row r="12" spans="1:5">
      <c r="A12" s="110" t="s">
        <v>290</v>
      </c>
      <c r="B12" s="53" t="str">
        <f>IF(OR(COUNTIF(SIContient[[#This Row],[Commentaire]],"*90*"),COUNTIF(SIContient[[#This Row],[Commentaire]],"*3000*"),COUNTIF(SIContient[[#This Row],[Commentaire]],"*1000*"))=TRUE,"Valide","Non Valide")</f>
        <v>Non Valide</v>
      </c>
      <c r="C12" s="67" t="s">
        <v>290</v>
      </c>
      <c r="D12" s="13" t="str">
        <f>IF(OR(ISNUMBER(SEARCH("*3000*",SIContient[[#This Row],[Données converties en texte]])),ISNUMBER(SEARCH("*1000*",SIContient[[#This Row],[Données converties en texte]])),ISNUMBER(SEARCH("*90*",SIContient[[#This Row],[Données converties en texte]]))),"Valide","Non valide")</f>
        <v>Non valide</v>
      </c>
      <c r="E12" s="13" t="str">
        <f>IF(OR(COUNTIFS(SIContient[[#This Row],[Données converties en texte]],"*3000*")=1,COUNTIFS(SIContient[[#This Row],[Données converties en texte]],"*1000*")=1,COUNTIFS(SIContient[[#This Row],[Données converties en texte]],"*90*")=1),"Valide","Non valide")</f>
        <v>Non valide</v>
      </c>
    </row>
    <row r="13" spans="1:5">
      <c r="A13" s="110" t="s">
        <v>291</v>
      </c>
      <c r="B13" s="53" t="str">
        <f>IF(OR(COUNTIF(SIContient[[#This Row],[Commentaire]],"*90*"),COUNTIF(SIContient[[#This Row],[Commentaire]],"*3000*"),COUNTIF(SIContient[[#This Row],[Commentaire]],"*1000*"))=TRUE,"Valide","Non Valide")</f>
        <v>Non Valide</v>
      </c>
      <c r="C13" s="67" t="s">
        <v>291</v>
      </c>
      <c r="D13" s="13" t="str">
        <f>IF(OR(ISNUMBER(SEARCH("*3000*",SIContient[[#This Row],[Données converties en texte]])),ISNUMBER(SEARCH("*1000*",SIContient[[#This Row],[Données converties en texte]])),ISNUMBER(SEARCH("*90*",SIContient[[#This Row],[Données converties en texte]]))),"Valide","Non valide")</f>
        <v>Non valide</v>
      </c>
      <c r="E13" s="13" t="str">
        <f>IF(OR(COUNTIFS(SIContient[[#This Row],[Données converties en texte]],"*3000*")=1,COUNTIFS(SIContient[[#This Row],[Données converties en texte]],"*1000*")=1,COUNTIFS(SIContient[[#This Row],[Données converties en texte]],"*90*")=1),"Valide","Non valide")</f>
        <v>Non valide</v>
      </c>
    </row>
    <row r="14" spans="1:5">
      <c r="A14" s="110" t="s">
        <v>292</v>
      </c>
      <c r="B14" s="53" t="str">
        <f>IF(OR(COUNTIF(SIContient[[#This Row],[Commentaire]],"*90*"),COUNTIF(SIContient[[#This Row],[Commentaire]],"*3000*"),COUNTIF(SIContient[[#This Row],[Commentaire]],"*1000*"))=TRUE,"Valide","Non Valide")</f>
        <v>Valide</v>
      </c>
      <c r="C14" s="67" t="s">
        <v>292</v>
      </c>
      <c r="D14" s="13" t="str">
        <f>IF(OR(ISNUMBER(SEARCH("*3000*",SIContient[[#This Row],[Données converties en texte]])),ISNUMBER(SEARCH("*1000*",SIContient[[#This Row],[Données converties en texte]])),ISNUMBER(SEARCH("*90*",SIContient[[#This Row],[Données converties en texte]]))),"Valide","Non valide")</f>
        <v>Valide</v>
      </c>
      <c r="E14" s="13" t="str">
        <f>IF(OR(COUNTIFS(SIContient[[#This Row],[Données converties en texte]],"*3000*")=1,COUNTIFS(SIContient[[#This Row],[Données converties en texte]],"*1000*")=1,COUNTIFS(SIContient[[#This Row],[Données converties en texte]],"*90*")=1),"Valide","Non valide")</f>
        <v>Valide</v>
      </c>
    </row>
    <row r="15" spans="1:5">
      <c r="A15" s="110" t="s">
        <v>301</v>
      </c>
      <c r="B15" s="53" t="str">
        <f>IF(OR(COUNTIF(SIContient[[#This Row],[Commentaire]],"*90*"),COUNTIF(SIContient[[#This Row],[Commentaire]],"*3000*"),COUNTIF(SIContient[[#This Row],[Commentaire]],"*1000*"))=TRUE,"Valide","Non Valide")</f>
        <v>Non Valide</v>
      </c>
      <c r="C15" s="67" t="s">
        <v>301</v>
      </c>
      <c r="D15" s="13" t="str">
        <f>IF(OR(ISNUMBER(SEARCH("*3000*",SIContient[[#This Row],[Données converties en texte]])),ISNUMBER(SEARCH("*1000*",SIContient[[#This Row],[Données converties en texte]])),ISNUMBER(SEARCH("*90*",SIContient[[#This Row],[Données converties en texte]]))),"Valide","Non valide")</f>
        <v>Non valide</v>
      </c>
      <c r="E15" s="13" t="str">
        <f>IF(OR(COUNTIFS(SIContient[[#This Row],[Données converties en texte]],"*3000*")=1,COUNTIFS(SIContient[[#This Row],[Données converties en texte]],"*1000*")=1,COUNTIFS(SIContient[[#This Row],[Données converties en texte]],"*90*")=1),"Valide","Non valide")</f>
        <v>Non valide</v>
      </c>
    </row>
    <row r="16" spans="1:5">
      <c r="A16" s="110" t="s">
        <v>293</v>
      </c>
      <c r="B16" s="53" t="str">
        <f>IF(OR(COUNTIF(SIContient[[#This Row],[Commentaire]],"*90*"),COUNTIF(SIContient[[#This Row],[Commentaire]],"*3000*"),COUNTIF(SIContient[[#This Row],[Commentaire]],"*1000*"))=TRUE,"Valide","Non Valide")</f>
        <v>Valide</v>
      </c>
      <c r="C16" s="67" t="s">
        <v>293</v>
      </c>
      <c r="D16" s="13" t="str">
        <f>IF(OR(ISNUMBER(SEARCH("*3000*",SIContient[[#This Row],[Données converties en texte]])),ISNUMBER(SEARCH("*1000*",SIContient[[#This Row],[Données converties en texte]])),ISNUMBER(SEARCH("*90*",SIContient[[#This Row],[Données converties en texte]]))),"Valide","Non valide")</f>
        <v>Valide</v>
      </c>
      <c r="E16" s="13" t="str">
        <f>IF(OR(COUNTIFS(SIContient[[#This Row],[Données converties en texte]],"*3000*")=1,COUNTIFS(SIContient[[#This Row],[Données converties en texte]],"*1000*")=1,COUNTIFS(SIContient[[#This Row],[Données converties en texte]],"*90*")=1),"Valide","Non valide")</f>
        <v>Valide</v>
      </c>
    </row>
    <row r="17" spans="1:5">
      <c r="A17" s="110" t="s">
        <v>294</v>
      </c>
      <c r="B17" s="53" t="str">
        <f>IF(OR(COUNTIF(SIContient[[#This Row],[Commentaire]],"*90*"),COUNTIF(SIContient[[#This Row],[Commentaire]],"*3000*"),COUNTIF(SIContient[[#This Row],[Commentaire]],"*1000*"))=TRUE,"Valide","Non Valide")</f>
        <v>Valide</v>
      </c>
      <c r="C17" s="67" t="s">
        <v>294</v>
      </c>
      <c r="D17" s="13" t="str">
        <f>IF(OR(ISNUMBER(SEARCH("*3000*",SIContient[[#This Row],[Données converties en texte]])),ISNUMBER(SEARCH("*1000*",SIContient[[#This Row],[Données converties en texte]])),ISNUMBER(SEARCH("*90*",SIContient[[#This Row],[Données converties en texte]]))),"Valide","Non valide")</f>
        <v>Valide</v>
      </c>
      <c r="E17" s="13" t="str">
        <f>IF(OR(COUNTIFS(SIContient[[#This Row],[Données converties en texte]],"*3000*")=1,COUNTIFS(SIContient[[#This Row],[Données converties en texte]],"*1000*")=1,COUNTIFS(SIContient[[#This Row],[Données converties en texte]],"*90*")=1),"Valide","Non valide")</f>
        <v>Valide</v>
      </c>
    </row>
    <row r="18" spans="1:5">
      <c r="A18" s="110" t="s">
        <v>295</v>
      </c>
      <c r="B18" s="53" t="str">
        <f>IF(OR(COUNTIF(SIContient[[#This Row],[Commentaire]],"*90*"),COUNTIF(SIContient[[#This Row],[Commentaire]],"*3000*"),COUNTIF(SIContient[[#This Row],[Commentaire]],"*1000*"))=TRUE,"Valide","Non Valide")</f>
        <v>Non Valide</v>
      </c>
      <c r="C18" s="67" t="s">
        <v>295</v>
      </c>
      <c r="D18" s="13" t="str">
        <f>IF(OR(ISNUMBER(SEARCH("*3000*",SIContient[[#This Row],[Données converties en texte]])),ISNUMBER(SEARCH("*1000*",SIContient[[#This Row],[Données converties en texte]])),ISNUMBER(SEARCH("*90*",SIContient[[#This Row],[Données converties en texte]]))),"Valide","Non valide")</f>
        <v>Non valide</v>
      </c>
      <c r="E18" s="13" t="str">
        <f>IF(OR(COUNTIFS(SIContient[[#This Row],[Données converties en texte]],"*3000*")=1,COUNTIFS(SIContient[[#This Row],[Données converties en texte]],"*1000*")=1,COUNTIFS(SIContient[[#This Row],[Données converties en texte]],"*90*")=1),"Valide","Non valide")</f>
        <v>Non valide</v>
      </c>
    </row>
    <row r="19" spans="1:5">
      <c r="A19" s="110" t="s">
        <v>296</v>
      </c>
      <c r="B19" s="53" t="str">
        <f>IF(OR(COUNTIF(SIContient[[#This Row],[Commentaire]],"*90*"),COUNTIF(SIContient[[#This Row],[Commentaire]],"*3000*"),COUNTIF(SIContient[[#This Row],[Commentaire]],"*1000*"))=TRUE,"Valide","Non Valide")</f>
        <v>Valide</v>
      </c>
      <c r="C19" s="67" t="s">
        <v>296</v>
      </c>
      <c r="D19" s="13" t="str">
        <f>IF(OR(ISNUMBER(SEARCH("*3000*",SIContient[[#This Row],[Données converties en texte]])),ISNUMBER(SEARCH("*1000*",SIContient[[#This Row],[Données converties en texte]])),ISNUMBER(SEARCH("*90*",SIContient[[#This Row],[Données converties en texte]]))),"Valide","Non valide")</f>
        <v>Valide</v>
      </c>
      <c r="E19" s="13" t="str">
        <f>IF(OR(COUNTIFS(SIContient[[#This Row],[Données converties en texte]],"*3000*")=1,COUNTIFS(SIContient[[#This Row],[Données converties en texte]],"*1000*")=1,COUNTIFS(SIContient[[#This Row],[Données converties en texte]],"*90*")=1),"Valide","Non valide")</f>
        <v>Valide</v>
      </c>
    </row>
    <row r="20" spans="1:5">
      <c r="A20" s="110" t="s">
        <v>297</v>
      </c>
      <c r="B20" s="53" t="str">
        <f>IF(OR(COUNTIF(SIContient[[#This Row],[Commentaire]],"*90*"),COUNTIF(SIContient[[#This Row],[Commentaire]],"*3000*"),COUNTIF(SIContient[[#This Row],[Commentaire]],"*1000*"))=TRUE,"Valide","Non Valide")</f>
        <v>Non Valide</v>
      </c>
      <c r="C20" s="67" t="s">
        <v>297</v>
      </c>
      <c r="D20" s="13" t="str">
        <f>IF(OR(ISNUMBER(SEARCH("*3000*",SIContient[[#This Row],[Données converties en texte]])),ISNUMBER(SEARCH("*1000*",SIContient[[#This Row],[Données converties en texte]])),ISNUMBER(SEARCH("*90*",SIContient[[#This Row],[Données converties en texte]]))),"Valide","Non valide")</f>
        <v>Non valide</v>
      </c>
      <c r="E20" s="13" t="str">
        <f>IF(OR(COUNTIFS(SIContient[[#This Row],[Données converties en texte]],"*3000*")=1,COUNTIFS(SIContient[[#This Row],[Données converties en texte]],"*1000*")=1,COUNTIFS(SIContient[[#This Row],[Données converties en texte]],"*90*")=1),"Valide","Non valide")</f>
        <v>Non valide</v>
      </c>
    </row>
    <row r="21" spans="1:5">
      <c r="A21" s="110" t="s">
        <v>300</v>
      </c>
      <c r="B21" s="53" t="str">
        <f>IF(OR(COUNTIF(SIContient[[#This Row],[Commentaire]],"*90*"),COUNTIF(SIContient[[#This Row],[Commentaire]],"*3000*"),COUNTIF(SIContient[[#This Row],[Commentaire]],"*1000*"))=TRUE,"Valide","Non Valide")</f>
        <v>Valide</v>
      </c>
      <c r="C21" s="67" t="s">
        <v>300</v>
      </c>
      <c r="D21" s="13" t="str">
        <f>IF(OR(ISNUMBER(SEARCH("*3000*",SIContient[[#This Row],[Données converties en texte]])),ISNUMBER(SEARCH("*1000*",SIContient[[#This Row],[Données converties en texte]])),ISNUMBER(SEARCH("*90*",SIContient[[#This Row],[Données converties en texte]]))),"Valide","Non valide")</f>
        <v>Valide</v>
      </c>
      <c r="E21" s="13" t="str">
        <f>IF(OR(COUNTIFS(SIContient[[#This Row],[Données converties en texte]],"*3000*")=1,COUNTIFS(SIContient[[#This Row],[Données converties en texte]],"*1000*")=1,COUNTIFS(SIContient[[#This Row],[Données converties en texte]],"*90*")=1),"Valide","Non valide")</f>
        <v>Valide</v>
      </c>
    </row>
    <row r="22" spans="1:5">
      <c r="A22" s="110" t="s">
        <v>298</v>
      </c>
      <c r="B22" s="53" t="str">
        <f>IF(OR(COUNTIF(SIContient[[#This Row],[Commentaire]],"*90*"),COUNTIF(SIContient[[#This Row],[Commentaire]],"*3000*"),COUNTIF(SIContient[[#This Row],[Commentaire]],"*1000*"))=TRUE,"Valide","Non Valide")</f>
        <v>Non Valide</v>
      </c>
      <c r="C22" s="67" t="s">
        <v>298</v>
      </c>
      <c r="D22" s="13" t="str">
        <f>IF(OR(ISNUMBER(SEARCH("*3000*",SIContient[[#This Row],[Données converties en texte]])),ISNUMBER(SEARCH("*1000*",SIContient[[#This Row],[Données converties en texte]])),ISNUMBER(SEARCH("*90*",SIContient[[#This Row],[Données converties en texte]]))),"Valide","Non valide")</f>
        <v>Non valide</v>
      </c>
      <c r="E22" s="13" t="str">
        <f>IF(OR(COUNTIFS(SIContient[[#This Row],[Données converties en texte]],"*3000*")=1,COUNTIFS(SIContient[[#This Row],[Données converties en texte]],"*1000*")=1,COUNTIFS(SIContient[[#This Row],[Données converties en texte]],"*90*")=1),"Valide","Non valide")</f>
        <v>Non valide</v>
      </c>
    </row>
    <row r="23" spans="1:5">
      <c r="A23" s="110" t="s">
        <v>334</v>
      </c>
      <c r="B23" s="53" t="str">
        <f>IF(OR(COUNTIF(SIContient[[#This Row],[Commentaire]],"*90*"),COUNTIF(SIContient[[#This Row],[Commentaire]],"*3000*"),COUNTIF(SIContient[[#This Row],[Commentaire]],"*1000*"))=TRUE,"Valide","Non Valide")</f>
        <v>Valide</v>
      </c>
      <c r="C23" s="67" t="s">
        <v>334</v>
      </c>
      <c r="D23" s="13" t="str">
        <f>IF(OR(ISNUMBER(SEARCH("*3000*",SIContient[[#This Row],[Données converties en texte]])),ISNUMBER(SEARCH("*1000*",SIContient[[#This Row],[Données converties en texte]])),ISNUMBER(SEARCH("*90*",SIContient[[#This Row],[Données converties en texte]]))),"Valide","Non valide")</f>
        <v>Valide</v>
      </c>
      <c r="E23" s="13" t="str">
        <f>IF(OR(COUNTIFS(SIContient[[#This Row],[Données converties en texte]],"*3000*")=1,COUNTIFS(SIContient[[#This Row],[Données converties en texte]],"*1000*")=1,COUNTIFS(SIContient[[#This Row],[Données converties en texte]],"*90*")=1),"Valide","Non valide")</f>
        <v>Valide</v>
      </c>
    </row>
    <row r="24" spans="1:5">
      <c r="A24" s="110" t="s">
        <v>299</v>
      </c>
      <c r="B24" s="53" t="str">
        <f>IF(OR(COUNTIF(SIContient[[#This Row],[Commentaire]],"*90*"),COUNTIF(SIContient[[#This Row],[Commentaire]],"*3000*"),COUNTIF(SIContient[[#This Row],[Commentaire]],"*1000*"))=TRUE,"Valide","Non Valide")</f>
        <v>Valide</v>
      </c>
      <c r="C24" s="67" t="s">
        <v>299</v>
      </c>
      <c r="D24" s="13" t="str">
        <f>IF(OR(ISNUMBER(SEARCH("*3000*",SIContient[[#This Row],[Données converties en texte]])),ISNUMBER(SEARCH("*1000*",SIContient[[#This Row],[Données converties en texte]])),ISNUMBER(SEARCH("*90*",SIContient[[#This Row],[Données converties en texte]]))),"Valide","Non valide")</f>
        <v>Valide</v>
      </c>
      <c r="E24" s="13" t="str">
        <f>IF(OR(COUNTIFS(SIContient[[#This Row],[Données converties en texte]],"*3000*")=1,COUNTIFS(SIContient[[#This Row],[Données converties en texte]],"*1000*")=1,COUNTIFS(SIContient[[#This Row],[Données converties en texte]],"*90*")=1),"Valide","Non valide")</f>
        <v>Valide</v>
      </c>
    </row>
    <row r="25" spans="1:5">
      <c r="A25" s="110" t="s">
        <v>303</v>
      </c>
      <c r="B25" s="53" t="str">
        <f>IF(OR(COUNTIF(SIContient[[#This Row],[Commentaire]],"*90*"),COUNTIF(SIContient[[#This Row],[Commentaire]],"*3000*"),COUNTIF(SIContient[[#This Row],[Commentaire]],"*1000*"))=TRUE,"Valide","Non Valide")</f>
        <v>Non Valide</v>
      </c>
      <c r="C25" s="67" t="s">
        <v>303</v>
      </c>
      <c r="D25" s="13" t="str">
        <f>IF(OR(ISNUMBER(SEARCH("*3000*",SIContient[[#This Row],[Données converties en texte]])),ISNUMBER(SEARCH("*1000*",SIContient[[#This Row],[Données converties en texte]])),ISNUMBER(SEARCH("*90*",SIContient[[#This Row],[Données converties en texte]]))),"Valide","Non valide")</f>
        <v>Non valide</v>
      </c>
      <c r="E25" s="13" t="str">
        <f>IF(OR(COUNTIFS(SIContient[[#This Row],[Données converties en texte]],"*3000*")=1,COUNTIFS(SIContient[[#This Row],[Données converties en texte]],"*1000*")=1,COUNTIFS(SIContient[[#This Row],[Données converties en texte]],"*90*")=1),"Valide","Non valide")</f>
        <v>Non valide</v>
      </c>
    </row>
  </sheetData>
  <pageMargins left="0.7" right="0.7" top="0.75" bottom="0.75" header="0.3" footer="0.3"/>
  <pageSetup paperSize="9" orientation="portrait" horizontalDpi="90" verticalDpi="90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F4FF8-1539-1943-B7DA-5AED8DF5980A}">
  <sheetPr>
    <tabColor theme="7" tint="0.79998168889431442"/>
  </sheetPr>
  <dimension ref="A1:D44"/>
  <sheetViews>
    <sheetView showGridLines="0" workbookViewId="0">
      <pane ySplit="5" topLeftCell="A8" activePane="bottomLeft" state="frozen"/>
      <selection activeCell="C6" sqref="C6"/>
      <selection pane="bottomLeft" activeCell="C6" sqref="C6"/>
    </sheetView>
  </sheetViews>
  <sheetFormatPr baseColWidth="10" defaultColWidth="12.109375" defaultRowHeight="14.4"/>
  <cols>
    <col min="1" max="2" width="20.77734375" style="1" customWidth="1"/>
    <col min="3" max="4" width="35.77734375" style="1" customWidth="1"/>
    <col min="5" max="16384" width="12.109375" style="1"/>
  </cols>
  <sheetData>
    <row r="1" spans="1:4">
      <c r="A1" s="33" t="s">
        <v>132</v>
      </c>
      <c r="B1" s="33"/>
      <c r="C1" s="33"/>
      <c r="D1" s="33"/>
    </row>
    <row r="2" spans="1:4">
      <c r="A2" s="35" t="s">
        <v>265</v>
      </c>
      <c r="B2" s="36"/>
      <c r="C2" s="36"/>
      <c r="D2" s="36"/>
    </row>
    <row r="3" spans="1:4">
      <c r="A3" s="76" t="s">
        <v>264</v>
      </c>
      <c r="B3" s="35"/>
      <c r="C3" s="35"/>
      <c r="D3" s="35"/>
    </row>
    <row r="5" spans="1:4" ht="15.6">
      <c r="A5" s="4" t="s">
        <v>1</v>
      </c>
      <c r="B5" s="4" t="s">
        <v>2</v>
      </c>
      <c r="C5" s="28" t="s">
        <v>266</v>
      </c>
      <c r="D5" s="7" t="s">
        <v>81</v>
      </c>
    </row>
    <row r="6" spans="1:4">
      <c r="A6" s="5" t="s">
        <v>34</v>
      </c>
      <c r="B6" s="2" t="s">
        <v>33</v>
      </c>
      <c r="C6" s="6"/>
      <c r="D6" s="8" t="str">
        <f>LOWER(LEFT(_20.Créer_adresse_mail[[#This Row],[Prénom]],1))&amp;"."&amp;SUBSTITUTE(LOWER(_20.Créer_adresse_mail[[#This Row],[Nom]]),"é","e")&amp;"@gmail.com"</f>
        <v>b.adessin@gmail.com</v>
      </c>
    </row>
    <row r="7" spans="1:4">
      <c r="A7" s="5" t="s">
        <v>14</v>
      </c>
      <c r="B7" s="2" t="s">
        <v>13</v>
      </c>
      <c r="C7" s="6"/>
      <c r="D7" s="8" t="str">
        <f>LOWER(LEFT(_20.Créer_adresse_mail[[#This Row],[Prénom]],1))&amp;"."&amp;SUBSTITUTE(LOWER(_20.Créer_adresse_mail[[#This Row],[Nom]]),"é","e")&amp;"@gmail.com"</f>
        <v>a.ble@gmail.com</v>
      </c>
    </row>
    <row r="8" spans="1:4">
      <c r="A8" s="5" t="s">
        <v>8</v>
      </c>
      <c r="B8" s="2" t="s">
        <v>7</v>
      </c>
      <c r="C8" s="6"/>
      <c r="D8" s="8" t="str">
        <f>LOWER(LEFT(_20.Créer_adresse_mail[[#This Row],[Prénom]],1))&amp;"."&amp;SUBSTITUTE(LOWER(_20.Créer_adresse_mail[[#This Row],[Nom]]),"é","e")&amp;"@gmail.com"</f>
        <v>a.bou@gmail.com</v>
      </c>
    </row>
    <row r="9" spans="1:4">
      <c r="A9" s="5" t="s">
        <v>6</v>
      </c>
      <c r="B9" s="2" t="s">
        <v>5</v>
      </c>
      <c r="C9" s="6"/>
      <c r="D9" s="8" t="str">
        <f>LOWER(LEFT(_20.Créer_adresse_mail[[#This Row],[Prénom]],1))&amp;"."&amp;SUBSTITUTE(LOWER(_20.Créer_adresse_mail[[#This Row],[Nom]]),"é","e")&amp;"@gmail.com"</f>
        <v>a.okardetour@gmail.com</v>
      </c>
    </row>
    <row r="10" spans="1:4">
      <c r="A10" s="5" t="s">
        <v>64</v>
      </c>
      <c r="B10" s="2" t="s">
        <v>63</v>
      </c>
      <c r="C10" s="6"/>
      <c r="D10" s="8" t="str">
        <f>LOWER(LEFT(_20.Créer_adresse_mail[[#This Row],[Prénom]],1))&amp;"."&amp;SUBSTITUTE(LOWER(_20.Créer_adresse_mail[[#This Row],[Nom]]),"é","e")&amp;"@gmail.com"</f>
        <v>e.bienhu@gmail.com</v>
      </c>
    </row>
    <row r="11" spans="1:4">
      <c r="A11" s="5" t="s">
        <v>30</v>
      </c>
      <c r="B11" s="2" t="s">
        <v>29</v>
      </c>
      <c r="C11" s="6"/>
      <c r="D11" s="8" t="str">
        <f>LOWER(LEFT(_20.Créer_adresse_mail[[#This Row],[Prénom]],1))&amp;"."&amp;SUBSTITUTE(LOWER(_20.Créer_adresse_mail[[#This Row],[Nom]]),"é","e")&amp;"@gmail.com"</f>
        <v>b.lamine@gmail.com</v>
      </c>
    </row>
    <row r="12" spans="1:4">
      <c r="A12" s="5" t="s">
        <v>53</v>
      </c>
      <c r="B12" s="2" t="s">
        <v>52</v>
      </c>
      <c r="C12" s="6"/>
      <c r="D12" s="8" t="str">
        <f>LOWER(LEFT(_20.Créer_adresse_mail[[#This Row],[Prénom]],1))&amp;"."&amp;SUBSTITUTE(LOWER(_20.Créer_adresse_mail[[#This Row],[Nom]]),"é","e")&amp;"@gmail.com"</f>
        <v>d.delion@gmail.com</v>
      </c>
    </row>
    <row r="13" spans="1:4">
      <c r="A13" s="5" t="s">
        <v>51</v>
      </c>
      <c r="B13" s="2" t="s">
        <v>50</v>
      </c>
      <c r="C13" s="6"/>
      <c r="D13" s="8" t="str">
        <f>LOWER(LEFT(_20.Créer_adresse_mail[[#This Row],[Prénom]],1))&amp;"."&amp;SUBSTITUTE(LOWER(_20.Créer_adresse_mail[[#This Row],[Nom]]),"é","e")&amp;"@gmail.com"</f>
        <v>d.rable@gmail.com</v>
      </c>
    </row>
    <row r="14" spans="1:4">
      <c r="A14" s="5" t="s">
        <v>82</v>
      </c>
      <c r="B14" s="2" t="s">
        <v>58</v>
      </c>
      <c r="C14" s="6"/>
      <c r="D14" s="8" t="str">
        <f>LOWER(LEFT(_20.Créer_adresse_mail[[#This Row],[Prénom]],1))&amp;"."&amp;SUBSTITUTE(LOWER(_20.Créer_adresse_mail[[#This Row],[Nom]]),"é","e")&amp;"@gmail.com"</f>
        <v>d.ochocola@gmail.com</v>
      </c>
    </row>
    <row r="15" spans="1:4">
      <c r="A15" s="5" t="s">
        <v>10</v>
      </c>
      <c r="B15" s="2" t="s">
        <v>9</v>
      </c>
      <c r="C15" s="6"/>
      <c r="D15" s="8" t="str">
        <f>LOWER(LEFT(_20.Créer_adresse_mail[[#This Row],[Prénom]],1))&amp;"."&amp;SUBSTITUTE(LOWER(_20.Créer_adresse_mail[[#This Row],[Nom]]),"é","e")&amp;"@gmail.com"</f>
        <v>a.ichon@gmail.com</v>
      </c>
    </row>
    <row r="16" spans="1:4">
      <c r="A16" s="5" t="s">
        <v>18</v>
      </c>
      <c r="B16" s="2" t="s">
        <v>17</v>
      </c>
      <c r="C16" s="6"/>
      <c r="D16" s="8" t="str">
        <f>LOWER(LEFT(_20.Créer_adresse_mail[[#This Row],[Prénom]],1))&amp;"."&amp;SUBSTITUTE(LOWER(_20.Créer_adresse_mail[[#This Row],[Nom]]),"é","e")&amp;"@gmail.com"</f>
        <v>a.versaire@gmail.com</v>
      </c>
    </row>
    <row r="17" spans="1:4">
      <c r="A17" s="5" t="s">
        <v>57</v>
      </c>
      <c r="B17" s="2" t="s">
        <v>56</v>
      </c>
      <c r="C17" s="6"/>
      <c r="D17" s="8" t="str">
        <f>LOWER(LEFT(_20.Créer_adresse_mail[[#This Row],[Prénom]],1))&amp;"."&amp;SUBSTITUTE(LOWER(_20.Créer_adresse_mail[[#This Row],[Nom]]),"é","e")&amp;"@gmail.com"</f>
        <v>d.chon@gmail.com</v>
      </c>
    </row>
    <row r="18" spans="1:4">
      <c r="A18" s="5" t="s">
        <v>26</v>
      </c>
      <c r="B18" s="2" t="s">
        <v>25</v>
      </c>
      <c r="C18" s="6"/>
      <c r="D18" s="8" t="str">
        <f>LOWER(LEFT(_20.Créer_adresse_mail[[#This Row],[Prénom]],1))&amp;"."&amp;SUBSTITUTE(LOWER(_20.Créer_adresse_mail[[#This Row],[Nom]]),"é","e")&amp;"@gmail.com"</f>
        <v>b.dejeu@gmail.com</v>
      </c>
    </row>
    <row r="19" spans="1:4">
      <c r="A19" s="5" t="s">
        <v>55</v>
      </c>
      <c r="B19" s="2" t="s">
        <v>54</v>
      </c>
      <c r="C19" s="6"/>
      <c r="D19" s="8" t="str">
        <f>LOWER(LEFT(_20.Créer_adresse_mail[[#This Row],[Prénom]],1))&amp;"."&amp;SUBSTITUTE(LOWER(_20.Créer_adresse_mail[[#This Row],[Nom]]),"é","e")&amp;"@gmail.com"</f>
        <v>d.cumabite@gmail.com</v>
      </c>
    </row>
    <row r="20" spans="1:4">
      <c r="A20" s="5" t="s">
        <v>115</v>
      </c>
      <c r="B20" s="2" t="s">
        <v>45</v>
      </c>
      <c r="C20" s="6"/>
      <c r="D20" s="8" t="str">
        <f>LOWER(LEFT(_20.Créer_adresse_mail[[#This Row],[Prénom]],1))&amp;"."&amp;SUBSTITUTE(LOWER(_20.Créer_adresse_mail[[#This Row],[Nom]]),"é","e")&amp;"@gmail.com"</f>
        <v>c.delune@gmail.com</v>
      </c>
    </row>
    <row r="21" spans="1:4">
      <c r="A21" s="5" t="s">
        <v>47</v>
      </c>
      <c r="B21" s="2" t="s">
        <v>46</v>
      </c>
      <c r="C21" s="6"/>
      <c r="D21" s="8" t="str">
        <f>LOWER(LEFT(_20.Créer_adresse_mail[[#This Row],[Prénom]],1))&amp;"."&amp;SUBSTITUTE(LOWER(_20.Créer_adresse_mail[[#This Row],[Nom]]),"é","e")&amp;"@gmail.com"</f>
        <v>c.sterole@gmail.com</v>
      </c>
    </row>
    <row r="22" spans="1:4">
      <c r="A22" s="5" t="s">
        <v>24</v>
      </c>
      <c r="B22" s="2" t="s">
        <v>23</v>
      </c>
      <c r="C22" s="6"/>
      <c r="D22" s="8" t="str">
        <f>LOWER(LEFT(_20.Créer_adresse_mail[[#This Row],[Prénom]],1))&amp;"."&amp;SUBSTITUTE(LOWER(_20.Créer_adresse_mail[[#This Row],[Nom]]),"é","e")&amp;"@gmail.com"</f>
        <v>b.haba@gmail.com</v>
      </c>
    </row>
    <row r="23" spans="1:4">
      <c r="A23" s="5" t="s">
        <v>32</v>
      </c>
      <c r="B23" s="2" t="s">
        <v>31</v>
      </c>
      <c r="C23" s="6"/>
      <c r="D23" s="8" t="str">
        <f>LOWER(LEFT(_20.Créer_adresse_mail[[#This Row],[Prénom]],1))&amp;"."&amp;SUBSTITUTE(LOWER(_20.Créer_adresse_mail[[#This Row],[Nom]]),"é","e")&amp;"@gmail.com"</f>
        <v>b.hatterahl@gmail.com</v>
      </c>
    </row>
    <row r="24" spans="1:4">
      <c r="A24" s="5" t="s">
        <v>38</v>
      </c>
      <c r="B24" s="2" t="s">
        <v>37</v>
      </c>
      <c r="C24" s="6"/>
      <c r="D24" s="8" t="str">
        <f>LOWER(LEFT(_20.Créer_adresse_mail[[#This Row],[Prénom]],1))&amp;"."&amp;SUBSTITUTE(LOWER(_20.Créer_adresse_mail[[#This Row],[Nom]]),"é","e")&amp;"@gmail.com"</f>
        <v>b.kenalundi@gmail.com</v>
      </c>
    </row>
    <row r="25" spans="1:4">
      <c r="A25" s="5" t="s">
        <v>16</v>
      </c>
      <c r="B25" s="2" t="s">
        <v>15</v>
      </c>
      <c r="C25" s="6"/>
      <c r="D25" s="8" t="str">
        <f>LOWER(LEFT(_20.Créer_adresse_mail[[#This Row],[Prénom]],1))&amp;"."&amp;SUBSTITUTE(LOWER(_20.Créer_adresse_mail[[#This Row],[Nom]]),"é","e")&amp;"@gmail.com"</f>
        <v>a.naline@gmail.com</v>
      </c>
    </row>
    <row r="26" spans="1:4">
      <c r="A26" s="5" t="s">
        <v>28</v>
      </c>
      <c r="B26" s="2" t="s">
        <v>27</v>
      </c>
      <c r="C26" s="6"/>
      <c r="D26" s="8" t="str">
        <f>LOWER(LEFT(_20.Créer_adresse_mail[[#This Row],[Prénom]],1))&amp;"."&amp;SUBSTITUTE(LOWER(_20.Créer_adresse_mail[[#This Row],[Nom]]),"é","e")&amp;"@gmail.com"</f>
        <v>b.alors@gmail.com</v>
      </c>
    </row>
    <row r="27" spans="1:4">
      <c r="A27" s="5" t="s">
        <v>49</v>
      </c>
      <c r="B27" s="2" t="s">
        <v>48</v>
      </c>
      <c r="C27" s="6"/>
      <c r="D27" s="8" t="str">
        <f>LOWER(LEFT(_20.Créer_adresse_mail[[#This Row],[Prénom]],1))&amp;"."&amp;SUBSTITUTE(LOWER(_20.Créer_adresse_mail[[#This Row],[Nom]]),"é","e")&amp;"@gmail.com"</f>
        <v>c.hique@gmail.com</v>
      </c>
    </row>
    <row r="28" spans="1:4">
      <c r="A28" s="5" t="s">
        <v>44</v>
      </c>
      <c r="B28" s="2" t="s">
        <v>43</v>
      </c>
      <c r="C28" s="6"/>
      <c r="D28" s="8" t="str">
        <f>LOWER(LEFT(_20.Créer_adresse_mail[[#This Row],[Prénom]],1))&amp;"."&amp;SUBSTITUTE(LOWER(_20.Créer_adresse_mail[[#This Row],[Nom]]),"é","e")&amp;"@gmail.com"</f>
        <v>c.ottofraise@gmail.com</v>
      </c>
    </row>
    <row r="29" spans="1:4">
      <c r="A29" s="5" t="s">
        <v>40</v>
      </c>
      <c r="B29" s="2" t="s">
        <v>39</v>
      </c>
      <c r="C29" s="6"/>
      <c r="D29" s="8" t="str">
        <f>LOWER(LEFT(_20.Créer_adresse_mail[[#This Row],[Prénom]],1))&amp;"."&amp;SUBSTITUTE(LOWER(_20.Créer_adresse_mail[[#This Row],[Nom]]),"é","e")&amp;"@gmail.com"</f>
        <v>b.glace@gmail.com</v>
      </c>
    </row>
    <row r="30" spans="1:4">
      <c r="A30" s="5" t="s">
        <v>42</v>
      </c>
      <c r="B30" s="2" t="s">
        <v>41</v>
      </c>
      <c r="C30" s="6"/>
      <c r="D30" s="8" t="str">
        <f>LOWER(LEFT(_20.Créer_adresse_mail[[#This Row],[Prénom]],1))&amp;"."&amp;SUBSTITUTE(LOWER(_20.Créer_adresse_mail[[#This Row],[Nom]]),"é","e")&amp;"@gmail.com"</f>
        <v>c.encieux@gmail.com</v>
      </c>
    </row>
    <row r="31" spans="1:4">
      <c r="A31" s="5" t="s">
        <v>60</v>
      </c>
      <c r="B31" s="2" t="s">
        <v>59</v>
      </c>
      <c r="C31" s="6"/>
      <c r="D31" s="8" t="str">
        <f>LOWER(LEFT(_20.Créer_adresse_mail[[#This Row],[Prénom]],1))&amp;"."&amp;SUBSTITUTE(LOWER(_20.Créer_adresse_mail[[#This Row],[Nom]]),"é","e")&amp;"@gmail.com"</f>
        <v>e.silla@gmail.com</v>
      </c>
    </row>
    <row r="32" spans="1:4">
      <c r="A32" s="5" t="s">
        <v>22</v>
      </c>
      <c r="B32" s="2" t="s">
        <v>21</v>
      </c>
      <c r="C32" s="6"/>
      <c r="D32" s="8" t="str">
        <f>LOWER(LEFT(_20.Créer_adresse_mail[[#This Row],[Prénom]],1))&amp;"."&amp;SUBSTITUTE(LOWER(_20.Créer_adresse_mail[[#This Row],[Nom]]),"é","e")&amp;"@gmail.com"</f>
        <v>b.degout@gmail.com</v>
      </c>
    </row>
    <row r="33" spans="1:4">
      <c r="A33" s="5" t="s">
        <v>12</v>
      </c>
      <c r="B33" s="2" t="s">
        <v>11</v>
      </c>
      <c r="C33" s="6"/>
      <c r="D33" s="8" t="str">
        <f>LOWER(LEFT(_20.Créer_adresse_mail[[#This Row],[Prénom]],1))&amp;"."&amp;SUBSTITUTE(LOWER(_20.Créer_adresse_mail[[#This Row],[Nom]]),"é","e")&amp;"@gmail.com"</f>
        <v>a.gatore@gmail.com</v>
      </c>
    </row>
    <row r="34" spans="1:4">
      <c r="A34" s="5" t="s">
        <v>62</v>
      </c>
      <c r="B34" s="2" t="s">
        <v>61</v>
      </c>
      <c r="C34" s="6"/>
      <c r="D34" s="8" t="str">
        <f>LOWER(LEFT(_20.Créer_adresse_mail[[#This Row],[Prénom]],1))&amp;"."&amp;SUBSTITUTE(LOWER(_20.Créer_adresse_mail[[#This Row],[Nom]]),"é","e")&amp;"@gmail.com"</f>
        <v>e.grec@gmail.com</v>
      </c>
    </row>
    <row r="35" spans="1:4">
      <c r="A35" s="5" t="s">
        <v>20</v>
      </c>
      <c r="B35" s="2" t="s">
        <v>19</v>
      </c>
      <c r="C35" s="6"/>
      <c r="D35" s="8" t="str">
        <f>LOWER(LEFT(_20.Créer_adresse_mail[[#This Row],[Prénom]],1))&amp;"."&amp;SUBSTITUTE(LOWER(_20.Créer_adresse_mail[[#This Row],[Nom]]),"é","e")&amp;"@gmail.com"</f>
        <v>a.polaire@gmail.com</v>
      </c>
    </row>
    <row r="36" spans="1:4">
      <c r="A36" s="5" t="s">
        <v>36</v>
      </c>
      <c r="B36" s="2" t="s">
        <v>35</v>
      </c>
      <c r="C36" s="6"/>
      <c r="D36" s="8" t="str">
        <f>LOWER(LEFT(_20.Créer_adresse_mail[[#This Row],[Prénom]],1))&amp;"."&amp;SUBSTITUTE(LOWER(_20.Créer_adresse_mail[[#This Row],[Nom]]),"é","e")&amp;"@gmail.com"</f>
        <v>b.ho@gmail.com</v>
      </c>
    </row>
    <row r="37" spans="1:4">
      <c r="A37" s="5" t="s">
        <v>70</v>
      </c>
      <c r="B37" s="2" t="s">
        <v>69</v>
      </c>
      <c r="C37" s="6"/>
      <c r="D37" s="8" t="str">
        <f>LOWER(LEFT(_20.Créer_adresse_mail[[#This Row],[Prénom]],1))&amp;"."&amp;SUBSTITUTE(LOWER(_20.Créer_adresse_mail[[#This Row],[Nom]]),"é","e")&amp;"@gmail.com"</f>
        <v>g.alizan@gmail.com</v>
      </c>
    </row>
    <row r="38" spans="1:4">
      <c r="A38" s="5" t="s">
        <v>80</v>
      </c>
      <c r="B38" s="2" t="s">
        <v>79</v>
      </c>
      <c r="C38" s="6"/>
      <c r="D38" s="8" t="str">
        <f>LOWER(LEFT(_20.Créer_adresse_mail[[#This Row],[Prénom]],1))&amp;"."&amp;SUBSTITUTE(LOWER(_20.Créer_adresse_mail[[#This Row],[Nom]]),"é","e")&amp;"@gmail.com"</f>
        <v>n.amo@gmail.com</v>
      </c>
    </row>
    <row r="39" spans="1:4">
      <c r="A39" s="5" t="s">
        <v>68</v>
      </c>
      <c r="B39" s="2" t="s">
        <v>67</v>
      </c>
      <c r="C39" s="6"/>
      <c r="D39" s="8" t="str">
        <f>LOWER(LEFT(_20.Créer_adresse_mail[[#This Row],[Prénom]],1))&amp;"."&amp;SUBSTITUTE(LOWER(_20.Créer_adresse_mail[[#This Row],[Nom]]),"é","e")&amp;"@gmail.com"</f>
        <v>f.anamoure@gmail.com</v>
      </c>
    </row>
    <row r="40" spans="1:4">
      <c r="A40" s="5" t="s">
        <v>74</v>
      </c>
      <c r="B40" s="2" t="s">
        <v>73</v>
      </c>
      <c r="C40" s="6"/>
      <c r="D40" s="8" t="str">
        <f>LOWER(LEFT(_20.Créer_adresse_mail[[#This Row],[Prénom]],1))&amp;"."&amp;SUBSTITUTE(LOWER(_20.Créer_adresse_mail[[#This Row],[Nom]]),"é","e")&amp;"@gmail.com"</f>
        <v>j.arepasse@gmail.com</v>
      </c>
    </row>
    <row r="41" spans="1:4">
      <c r="A41" s="5" t="s">
        <v>66</v>
      </c>
      <c r="B41" s="2" t="s">
        <v>65</v>
      </c>
      <c r="C41" s="6"/>
      <c r="D41" s="8" t="str">
        <f>LOWER(LEFT(_20.Créer_adresse_mail[[#This Row],[Prénom]],1))&amp;"."&amp;SUBSTITUTE(LOWER(_20.Créer_adresse_mail[[#This Row],[Nom]]),"é","e")&amp;"@gmail.com"</f>
        <v>f.assonmec@gmail.com</v>
      </c>
    </row>
    <row r="42" spans="1:4">
      <c r="A42" s="5" t="s">
        <v>78</v>
      </c>
      <c r="B42" s="2" t="s">
        <v>77</v>
      </c>
      <c r="C42" s="6"/>
      <c r="D42" s="8" t="str">
        <f>LOWER(LEFT(_20.Créer_adresse_mail[[#This Row],[Prénom]],1))&amp;"."&amp;SUBSTITUTE(LOWER(_20.Créer_adresse_mail[[#This Row],[Nom]]),"é","e")&amp;"@gmail.com"</f>
        <v>m.demesse@gmail.com</v>
      </c>
    </row>
    <row r="43" spans="1:4">
      <c r="A43" s="5" t="s">
        <v>76</v>
      </c>
      <c r="B43" s="2" t="s">
        <v>75</v>
      </c>
      <c r="C43" s="6"/>
      <c r="D43" s="8" t="str">
        <f>LOWER(LEFT(_20.Créer_adresse_mail[[#This Row],[Prénom]],1))&amp;"."&amp;SUBSTITUTE(LOWER(_20.Créer_adresse_mail[[#This Row],[Nom]]),"é","e")&amp;"@gmail.com"</f>
        <v>m.depinbeurre@gmail.com</v>
      </c>
    </row>
    <row r="44" spans="1:4">
      <c r="A44" s="5" t="s">
        <v>72</v>
      </c>
      <c r="B44" s="2" t="s">
        <v>71</v>
      </c>
      <c r="C44" s="6"/>
      <c r="D44" s="8" t="str">
        <f>LOWER(LEFT(_20.Créer_adresse_mail[[#This Row],[Prénom]],1))&amp;"."&amp;SUBSTITUTE(LOWER(_20.Créer_adresse_mail[[#This Row],[Nom]]),"é","e")&amp;"@gmail.com"</f>
        <v>g.desauvetage@gmail.com</v>
      </c>
    </row>
  </sheetData>
  <pageMargins left="0.7" right="0.7" top="0.75" bottom="0.75" header="0.3" footer="0.3"/>
  <pageSetup paperSize="9" orientation="portrait" horizontalDpi="90" verticalDpi="90"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EE498-EB5A-484E-BEE0-F4D487CFFB5A}">
  <sheetPr>
    <tabColor theme="7" tint="0.79998168889431442"/>
  </sheetPr>
  <dimension ref="A1:J45"/>
  <sheetViews>
    <sheetView showGridLines="0" workbookViewId="0">
      <pane ySplit="6" topLeftCell="A7" activePane="bottomLeft" state="frozen"/>
      <selection activeCell="C6" sqref="C6"/>
      <selection pane="bottomLeft" activeCell="C6" sqref="C6"/>
    </sheetView>
  </sheetViews>
  <sheetFormatPr baseColWidth="10" defaultColWidth="12.109375" defaultRowHeight="14.4"/>
  <cols>
    <col min="1" max="1" width="35.77734375" style="1" customWidth="1"/>
    <col min="2" max="3" width="17.77734375" style="1" customWidth="1"/>
    <col min="4" max="4" width="20.77734375" style="1" customWidth="1"/>
    <col min="5" max="6" width="17.77734375" style="1" customWidth="1"/>
    <col min="7" max="7" width="22.77734375" style="1" customWidth="1"/>
    <col min="8" max="9" width="17.77734375" style="1" customWidth="1"/>
    <col min="10" max="10" width="20.77734375" style="1" customWidth="1"/>
    <col min="11" max="16384" width="12.109375" style="1"/>
  </cols>
  <sheetData>
    <row r="1" spans="1:10" ht="19.95" customHeight="1">
      <c r="A1" s="33" t="s">
        <v>132</v>
      </c>
      <c r="B1" s="33"/>
      <c r="C1" s="33"/>
      <c r="D1" s="33"/>
      <c r="E1" s="33"/>
      <c r="F1" s="63"/>
      <c r="G1" s="38"/>
      <c r="H1" s="38"/>
      <c r="I1" s="38"/>
      <c r="J1" s="38"/>
    </row>
    <row r="2" spans="1:10">
      <c r="A2" s="31" t="s">
        <v>282</v>
      </c>
      <c r="B2" s="31"/>
      <c r="C2" s="31"/>
      <c r="D2" s="31"/>
      <c r="E2" s="31"/>
      <c r="F2" s="48"/>
      <c r="G2" s="37"/>
      <c r="H2" s="37"/>
      <c r="I2" s="37"/>
      <c r="J2" s="37"/>
    </row>
    <row r="3" spans="1:10">
      <c r="A3" s="31" t="s">
        <v>281</v>
      </c>
      <c r="B3" s="31"/>
      <c r="C3" s="31"/>
      <c r="D3" s="31"/>
      <c r="E3" s="31"/>
      <c r="F3" s="48"/>
      <c r="G3" s="37"/>
      <c r="H3" s="37"/>
      <c r="I3" s="37"/>
      <c r="J3" s="37"/>
    </row>
    <row r="4" spans="1:10">
      <c r="A4" s="31" t="s">
        <v>283</v>
      </c>
      <c r="B4" s="31"/>
      <c r="C4" s="31"/>
      <c r="D4" s="31"/>
      <c r="E4" s="31"/>
      <c r="F4" s="48"/>
      <c r="G4" s="37"/>
      <c r="H4" s="37"/>
      <c r="I4" s="37"/>
      <c r="J4" s="37"/>
    </row>
    <row r="6" spans="1:10" ht="28.8">
      <c r="A6" s="1" t="s">
        <v>181</v>
      </c>
      <c r="B6" s="1" t="s">
        <v>1</v>
      </c>
      <c r="C6" s="1" t="s">
        <v>182</v>
      </c>
      <c r="D6" s="1" t="s">
        <v>157</v>
      </c>
      <c r="E6" s="27" t="s">
        <v>183</v>
      </c>
      <c r="F6" s="27" t="s">
        <v>184</v>
      </c>
      <c r="G6" s="27" t="s">
        <v>185</v>
      </c>
      <c r="H6" s="43" t="s">
        <v>721</v>
      </c>
      <c r="I6" s="43" t="s">
        <v>720</v>
      </c>
      <c r="J6" s="43" t="s">
        <v>719</v>
      </c>
    </row>
    <row r="7" spans="1:10">
      <c r="A7" s="5" t="s">
        <v>155</v>
      </c>
      <c r="B7" s="6"/>
      <c r="C7" s="6"/>
      <c r="D7" s="9"/>
      <c r="E7" s="44" t="str">
        <f>_xlfn.TEXTBEFORE(_21.Nettoyer_données[[#This Row],[Extraction]],"/")</f>
        <v>ADÉSSIN</v>
      </c>
      <c r="F7" s="13" t="str">
        <f>IFERROR(_xlfn.TEXTBEFORE(_xlfn.TEXTAFTER(_21.Nettoyer_données[[#This Row],[Extraction]],"/")," "),_xlfn.TEXTAFTER(_21.Nettoyer_données[[#This Row],[Extraction]],"/"))</f>
        <v>Bérangère</v>
      </c>
      <c r="G7" s="13" t="str">
        <f>_21.Nettoyer_données[[#This Row],[Correction
Nom]]&amp;" "&amp;_21.Nettoyer_données[[#This Row],[Correction
Prénom]]</f>
        <v>ADÉSSIN Bérangère</v>
      </c>
      <c r="H7" s="14" t="str">
        <f>LEFT(_21.Nettoyer_données[[#This Row],[Extraction]],FIND("/",_21.Nettoyer_données[[#This Row],[Extraction]])-1)</f>
        <v>ADÉSSIN</v>
      </c>
      <c r="I7" s="14" t="str">
        <f>IFERROR(LEFT(RIGHT(_21.Nettoyer_données[[#This Row],[Extraction]],LEN(_21.Nettoyer_données[[#This Row],[Extraction]])-FIND("/",_21.Nettoyer_données[[#This Row],[Extraction]])),FIND(" ",RIGHT(_21.Nettoyer_données[[#This Row],[Extraction]],LEN(_21.Nettoyer_données[[#This Row],[Extraction]])-FIND("/",_21.Nettoyer_données[[#This Row],[Extraction]])))-1),RIGHT(_21.Nettoyer_données[[#This Row],[Extraction]],LEN(_21.Nettoyer_données[[#This Row],[Extraction]])-FIND("/",_21.Nettoyer_données[[#This Row],[Extraction]])))</f>
        <v>Bérangère</v>
      </c>
      <c r="J7" s="14" t="str">
        <f>_21.Nettoyer_données[[#This Row],[Excel &lt; 2021
Nom]]&amp;" "&amp;_21.Nettoyer_données[[#This Row],[Excel &lt; 2021
Prénom]]</f>
        <v>ADÉSSIN Bérangère</v>
      </c>
    </row>
    <row r="8" spans="1:10">
      <c r="A8" s="5" t="s">
        <v>143</v>
      </c>
      <c r="B8" s="6"/>
      <c r="C8" s="6"/>
      <c r="D8" s="9"/>
      <c r="E8" s="44" t="str">
        <f>_xlfn.TEXTBEFORE(_21.Nettoyer_données[[#This Row],[Extraction]],"/")</f>
        <v>ADÉSSIN</v>
      </c>
      <c r="F8" s="13" t="str">
        <f>IFERROR(_xlfn.TEXTBEFORE(_xlfn.TEXTAFTER(_21.Nettoyer_données[[#This Row],[Extraction]],"/")," "),_xlfn.TEXTAFTER(_21.Nettoyer_données[[#This Row],[Extraction]],"/"))</f>
        <v>Bérangère</v>
      </c>
      <c r="G8" s="13" t="str">
        <f>_21.Nettoyer_données[[#This Row],[Correction
Nom]]&amp;" "&amp;_21.Nettoyer_données[[#This Row],[Correction
Prénom]]</f>
        <v>ADÉSSIN Bérangère</v>
      </c>
      <c r="H8" s="14" t="str">
        <f>LEFT(_21.Nettoyer_données[[#This Row],[Extraction]],FIND("/",_21.Nettoyer_données[[#This Row],[Extraction]])-1)</f>
        <v>ADÉSSIN</v>
      </c>
      <c r="I8" s="14" t="str">
        <f>IFERROR(LEFT(RIGHT(_21.Nettoyer_données[[#This Row],[Extraction]],LEN(_21.Nettoyer_données[[#This Row],[Extraction]])-FIND("/",_21.Nettoyer_données[[#This Row],[Extraction]])),FIND(" ",RIGHT(_21.Nettoyer_données[[#This Row],[Extraction]],LEN(_21.Nettoyer_données[[#This Row],[Extraction]])-FIND("/",_21.Nettoyer_données[[#This Row],[Extraction]])))-1),RIGHT(_21.Nettoyer_données[[#This Row],[Extraction]],LEN(_21.Nettoyer_données[[#This Row],[Extraction]])-FIND("/",_21.Nettoyer_données[[#This Row],[Extraction]])))</f>
        <v>Bérangère</v>
      </c>
      <c r="J8" s="14" t="str">
        <f>_21.Nettoyer_données[[#This Row],[Excel &lt; 2021
Nom]]&amp;" "&amp;_21.Nettoyer_données[[#This Row],[Excel &lt; 2021
Prénom]]</f>
        <v>ADÉSSIN Bérangère</v>
      </c>
    </row>
    <row r="9" spans="1:10">
      <c r="A9" s="5" t="s">
        <v>144</v>
      </c>
      <c r="B9" s="6"/>
      <c r="C9" s="6"/>
      <c r="D9" s="9"/>
      <c r="E9" s="44" t="str">
        <f>_xlfn.TEXTBEFORE(_21.Nettoyer_données[[#This Row],[Extraction]],"/")</f>
        <v>ADÉSSIN</v>
      </c>
      <c r="F9" s="13" t="str">
        <f>IFERROR(_xlfn.TEXTBEFORE(_xlfn.TEXTAFTER(_21.Nettoyer_données[[#This Row],[Extraction]],"/")," "),_xlfn.TEXTAFTER(_21.Nettoyer_données[[#This Row],[Extraction]],"/"))</f>
        <v>Blanche</v>
      </c>
      <c r="G9" s="13" t="str">
        <f>_21.Nettoyer_données[[#This Row],[Correction
Nom]]&amp;" "&amp;_21.Nettoyer_données[[#This Row],[Correction
Prénom]]</f>
        <v>ADÉSSIN Blanche</v>
      </c>
      <c r="H9" s="14" t="str">
        <f>LEFT(_21.Nettoyer_données[[#This Row],[Extraction]],FIND("/",_21.Nettoyer_données[[#This Row],[Extraction]])-1)</f>
        <v>ADÉSSIN</v>
      </c>
      <c r="I9" s="14" t="str">
        <f>IFERROR(LEFT(RIGHT(_21.Nettoyer_données[[#This Row],[Extraction]],LEN(_21.Nettoyer_données[[#This Row],[Extraction]])-FIND("/",_21.Nettoyer_données[[#This Row],[Extraction]])),FIND(" ",RIGHT(_21.Nettoyer_données[[#This Row],[Extraction]],LEN(_21.Nettoyer_données[[#This Row],[Extraction]])-FIND("/",_21.Nettoyer_données[[#This Row],[Extraction]])))-1),RIGHT(_21.Nettoyer_données[[#This Row],[Extraction]],LEN(_21.Nettoyer_données[[#This Row],[Extraction]])-FIND("/",_21.Nettoyer_données[[#This Row],[Extraction]])))</f>
        <v>Blanche</v>
      </c>
      <c r="J9" s="14" t="str">
        <f>_21.Nettoyer_données[[#This Row],[Excel &lt; 2021
Nom]]&amp;" "&amp;_21.Nettoyer_données[[#This Row],[Excel &lt; 2021
Prénom]]</f>
        <v>ADÉSSIN Blanche</v>
      </c>
    </row>
    <row r="10" spans="1:10">
      <c r="A10" s="5" t="s">
        <v>145</v>
      </c>
      <c r="B10" s="6"/>
      <c r="C10" s="6"/>
      <c r="D10" s="9"/>
      <c r="E10" s="44" t="str">
        <f>_xlfn.TEXTBEFORE(_21.Nettoyer_données[[#This Row],[Extraction]],"/")</f>
        <v>ADÉSSIN</v>
      </c>
      <c r="F10" s="13" t="str">
        <f>IFERROR(_xlfn.TEXTBEFORE(_xlfn.TEXTAFTER(_21.Nettoyer_données[[#This Row],[Extraction]],"/")," "),_xlfn.TEXTAFTER(_21.Nettoyer_données[[#This Row],[Extraction]],"/"))</f>
        <v>Blanche</v>
      </c>
      <c r="G10" s="13" t="str">
        <f>_21.Nettoyer_données[[#This Row],[Correction
Nom]]&amp;" "&amp;_21.Nettoyer_données[[#This Row],[Correction
Prénom]]</f>
        <v>ADÉSSIN Blanche</v>
      </c>
      <c r="H10" s="14" t="str">
        <f>LEFT(_21.Nettoyer_données[[#This Row],[Extraction]],FIND("/",_21.Nettoyer_données[[#This Row],[Extraction]])-1)</f>
        <v>ADÉSSIN</v>
      </c>
      <c r="I10" s="14" t="str">
        <f>IFERROR(LEFT(RIGHT(_21.Nettoyer_données[[#This Row],[Extraction]],LEN(_21.Nettoyer_données[[#This Row],[Extraction]])-FIND("/",_21.Nettoyer_données[[#This Row],[Extraction]])),FIND(" ",RIGHT(_21.Nettoyer_données[[#This Row],[Extraction]],LEN(_21.Nettoyer_données[[#This Row],[Extraction]])-FIND("/",_21.Nettoyer_données[[#This Row],[Extraction]])))-1),RIGHT(_21.Nettoyer_données[[#This Row],[Extraction]],LEN(_21.Nettoyer_données[[#This Row],[Extraction]])-FIND("/",_21.Nettoyer_données[[#This Row],[Extraction]])))</f>
        <v>Blanche</v>
      </c>
      <c r="J10" s="14" t="str">
        <f>_21.Nettoyer_données[[#This Row],[Excel &lt; 2021
Nom]]&amp;" "&amp;_21.Nettoyer_données[[#This Row],[Excel &lt; 2021
Prénom]]</f>
        <v>ADÉSSIN Blanche</v>
      </c>
    </row>
    <row r="11" spans="1:10">
      <c r="A11" s="5" t="s">
        <v>156</v>
      </c>
      <c r="B11" s="6"/>
      <c r="C11" s="6"/>
      <c r="D11" s="9"/>
      <c r="E11" s="44" t="str">
        <f>_xlfn.TEXTBEFORE(_21.Nettoyer_données[[#This Row],[Extraction]],"/")</f>
        <v>ADÉSSIN</v>
      </c>
      <c r="F11" s="13" t="str">
        <f>IFERROR(_xlfn.TEXTBEFORE(_xlfn.TEXTAFTER(_21.Nettoyer_données[[#This Row],[Extraction]],"/")," "),_xlfn.TEXTAFTER(_21.Nettoyer_données[[#This Row],[Extraction]],"/"))</f>
        <v>Blanche</v>
      </c>
      <c r="G11" s="13" t="str">
        <f>_21.Nettoyer_données[[#This Row],[Correction
Nom]]&amp;" "&amp;_21.Nettoyer_données[[#This Row],[Correction
Prénom]]</f>
        <v>ADÉSSIN Blanche</v>
      </c>
      <c r="H11" s="14" t="str">
        <f>LEFT(_21.Nettoyer_données[[#This Row],[Extraction]],FIND("/",_21.Nettoyer_données[[#This Row],[Extraction]])-1)</f>
        <v>ADÉSSIN</v>
      </c>
      <c r="I11" s="14" t="str">
        <f>IFERROR(LEFT(RIGHT(_21.Nettoyer_données[[#This Row],[Extraction]],LEN(_21.Nettoyer_données[[#This Row],[Extraction]])-FIND("/",_21.Nettoyer_données[[#This Row],[Extraction]])),FIND(" ",RIGHT(_21.Nettoyer_données[[#This Row],[Extraction]],LEN(_21.Nettoyer_données[[#This Row],[Extraction]])-FIND("/",_21.Nettoyer_données[[#This Row],[Extraction]])))-1),RIGHT(_21.Nettoyer_données[[#This Row],[Extraction]],LEN(_21.Nettoyer_données[[#This Row],[Extraction]])-FIND("/",_21.Nettoyer_données[[#This Row],[Extraction]])))</f>
        <v>Blanche</v>
      </c>
      <c r="J11" s="14" t="str">
        <f>_21.Nettoyer_données[[#This Row],[Excel &lt; 2021
Nom]]&amp;" "&amp;_21.Nettoyer_données[[#This Row],[Excel &lt; 2021
Prénom]]</f>
        <v>ADÉSSIN Blanche</v>
      </c>
    </row>
    <row r="12" spans="1:10">
      <c r="A12" s="5" t="s">
        <v>146</v>
      </c>
      <c r="B12" s="6"/>
      <c r="C12" s="6"/>
      <c r="D12" s="9"/>
      <c r="E12" s="44" t="str">
        <f>_xlfn.TEXTBEFORE(_21.Nettoyer_données[[#This Row],[Extraction]],"/")</f>
        <v>ADÉSSIN</v>
      </c>
      <c r="F12" s="13" t="str">
        <f>IFERROR(_xlfn.TEXTBEFORE(_xlfn.TEXTAFTER(_21.Nettoyer_données[[#This Row],[Extraction]],"/")," "),_xlfn.TEXTAFTER(_21.Nettoyer_données[[#This Row],[Extraction]],"/"))</f>
        <v>Blanche</v>
      </c>
      <c r="G12" s="13" t="str">
        <f>_21.Nettoyer_données[[#This Row],[Correction
Nom]]&amp;" "&amp;_21.Nettoyer_données[[#This Row],[Correction
Prénom]]</f>
        <v>ADÉSSIN Blanche</v>
      </c>
      <c r="H12" s="14" t="str">
        <f>LEFT(_21.Nettoyer_données[[#This Row],[Extraction]],FIND("/",_21.Nettoyer_données[[#This Row],[Extraction]])-1)</f>
        <v>ADÉSSIN</v>
      </c>
      <c r="I12" s="14" t="str">
        <f>IFERROR(LEFT(RIGHT(_21.Nettoyer_données[[#This Row],[Extraction]],LEN(_21.Nettoyer_données[[#This Row],[Extraction]])-FIND("/",_21.Nettoyer_données[[#This Row],[Extraction]])),FIND(" ",RIGHT(_21.Nettoyer_données[[#This Row],[Extraction]],LEN(_21.Nettoyer_données[[#This Row],[Extraction]])-FIND("/",_21.Nettoyer_données[[#This Row],[Extraction]])))-1),RIGHT(_21.Nettoyer_données[[#This Row],[Extraction]],LEN(_21.Nettoyer_données[[#This Row],[Extraction]])-FIND("/",_21.Nettoyer_données[[#This Row],[Extraction]])))</f>
        <v>Blanche</v>
      </c>
      <c r="J12" s="14" t="str">
        <f>_21.Nettoyer_données[[#This Row],[Excel &lt; 2021
Nom]]&amp;" "&amp;_21.Nettoyer_données[[#This Row],[Excel &lt; 2021
Prénom]]</f>
        <v>ADÉSSIN Blanche</v>
      </c>
    </row>
    <row r="13" spans="1:10">
      <c r="A13" s="5" t="s">
        <v>147</v>
      </c>
      <c r="B13" s="6"/>
      <c r="C13" s="6"/>
      <c r="D13" s="9"/>
      <c r="E13" s="44" t="str">
        <f>_xlfn.TEXTBEFORE(_21.Nettoyer_données[[#This Row],[Extraction]],"/")</f>
        <v>ALIZAN</v>
      </c>
      <c r="F13" s="13" t="str">
        <f>IFERROR(_xlfn.TEXTBEFORE(_xlfn.TEXTAFTER(_21.Nettoyer_données[[#This Row],[Extraction]],"/")," "),_xlfn.TEXTAFTER(_21.Nettoyer_données[[#This Row],[Extraction]],"/"))</f>
        <v>Gaspard</v>
      </c>
      <c r="G13" s="13" t="str">
        <f>_21.Nettoyer_données[[#This Row],[Correction
Nom]]&amp;" "&amp;_21.Nettoyer_données[[#This Row],[Correction
Prénom]]</f>
        <v>ALIZAN Gaspard</v>
      </c>
      <c r="H13" s="14" t="str">
        <f>LEFT(_21.Nettoyer_données[[#This Row],[Extraction]],FIND("/",_21.Nettoyer_données[[#This Row],[Extraction]])-1)</f>
        <v>ALIZAN</v>
      </c>
      <c r="I13" s="14" t="str">
        <f>IFERROR(LEFT(RIGHT(_21.Nettoyer_données[[#This Row],[Extraction]],LEN(_21.Nettoyer_données[[#This Row],[Extraction]])-FIND("/",_21.Nettoyer_données[[#This Row],[Extraction]])),FIND(" ",RIGHT(_21.Nettoyer_données[[#This Row],[Extraction]],LEN(_21.Nettoyer_données[[#This Row],[Extraction]])-FIND("/",_21.Nettoyer_données[[#This Row],[Extraction]])))-1),RIGHT(_21.Nettoyer_données[[#This Row],[Extraction]],LEN(_21.Nettoyer_données[[#This Row],[Extraction]])-FIND("/",_21.Nettoyer_données[[#This Row],[Extraction]])))</f>
        <v>Gaspard</v>
      </c>
      <c r="J13" s="14" t="str">
        <f>_21.Nettoyer_données[[#This Row],[Excel &lt; 2021
Nom]]&amp;" "&amp;_21.Nettoyer_données[[#This Row],[Excel &lt; 2021
Prénom]]</f>
        <v>ALIZAN Gaspard</v>
      </c>
    </row>
    <row r="14" spans="1:10">
      <c r="A14" s="5" t="s">
        <v>163</v>
      </c>
      <c r="B14" s="6"/>
      <c r="C14" s="6"/>
      <c r="D14" s="9"/>
      <c r="E14" s="44" t="str">
        <f>_xlfn.TEXTBEFORE(_21.Nettoyer_données[[#This Row],[Extraction]],"/")</f>
        <v>ALIZAN</v>
      </c>
      <c r="F14" s="13" t="str">
        <f>IFERROR(_xlfn.TEXTBEFORE(_xlfn.TEXTAFTER(_21.Nettoyer_données[[#This Row],[Extraction]],"/")," "),_xlfn.TEXTAFTER(_21.Nettoyer_données[[#This Row],[Extraction]],"/"))</f>
        <v>Gaspard</v>
      </c>
      <c r="G14" s="13" t="str">
        <f>_21.Nettoyer_données[[#This Row],[Correction
Nom]]&amp;" "&amp;_21.Nettoyer_données[[#This Row],[Correction
Prénom]]</f>
        <v>ALIZAN Gaspard</v>
      </c>
      <c r="H14" s="14" t="str">
        <f>LEFT(_21.Nettoyer_données[[#This Row],[Extraction]],FIND("/",_21.Nettoyer_données[[#This Row],[Extraction]])-1)</f>
        <v>ALIZAN</v>
      </c>
      <c r="I14" s="14" t="str">
        <f>IFERROR(LEFT(RIGHT(_21.Nettoyer_données[[#This Row],[Extraction]],LEN(_21.Nettoyer_données[[#This Row],[Extraction]])-FIND("/",_21.Nettoyer_données[[#This Row],[Extraction]])),FIND(" ",RIGHT(_21.Nettoyer_données[[#This Row],[Extraction]],LEN(_21.Nettoyer_données[[#This Row],[Extraction]])-FIND("/",_21.Nettoyer_données[[#This Row],[Extraction]])))-1),RIGHT(_21.Nettoyer_données[[#This Row],[Extraction]],LEN(_21.Nettoyer_données[[#This Row],[Extraction]])-FIND("/",_21.Nettoyer_données[[#This Row],[Extraction]])))</f>
        <v>Gaspard</v>
      </c>
      <c r="J14" s="14" t="str">
        <f>_21.Nettoyer_données[[#This Row],[Excel &lt; 2021
Nom]]&amp;" "&amp;_21.Nettoyer_données[[#This Row],[Excel &lt; 2021
Prénom]]</f>
        <v>ALIZAN Gaspard</v>
      </c>
    </row>
    <row r="15" spans="1:10">
      <c r="A15" s="5" t="s">
        <v>158</v>
      </c>
      <c r="B15" s="6"/>
      <c r="C15" s="6"/>
      <c r="D15" s="9"/>
      <c r="E15" s="44" t="str">
        <f>_xlfn.TEXTBEFORE(_21.Nettoyer_données[[#This Row],[Extraction]],"/")</f>
        <v>AMO</v>
      </c>
      <c r="F15" s="13" t="str">
        <f>IFERROR(_xlfn.TEXTBEFORE(_xlfn.TEXTAFTER(_21.Nettoyer_données[[#This Row],[Extraction]],"/")," "),_xlfn.TEXTAFTER(_21.Nettoyer_données[[#This Row],[Extraction]],"/"))</f>
        <v>Nadine</v>
      </c>
      <c r="G15" s="13" t="str">
        <f>_21.Nettoyer_données[[#This Row],[Correction
Nom]]&amp;" "&amp;_21.Nettoyer_données[[#This Row],[Correction
Prénom]]</f>
        <v>AMO Nadine</v>
      </c>
      <c r="H15" s="14" t="str">
        <f>LEFT(_21.Nettoyer_données[[#This Row],[Extraction]],FIND("/",_21.Nettoyer_données[[#This Row],[Extraction]])-1)</f>
        <v>AMO</v>
      </c>
      <c r="I15" s="14" t="str">
        <f>IFERROR(LEFT(RIGHT(_21.Nettoyer_données[[#This Row],[Extraction]],LEN(_21.Nettoyer_données[[#This Row],[Extraction]])-FIND("/",_21.Nettoyer_données[[#This Row],[Extraction]])),FIND(" ",RIGHT(_21.Nettoyer_données[[#This Row],[Extraction]],LEN(_21.Nettoyer_données[[#This Row],[Extraction]])-FIND("/",_21.Nettoyer_données[[#This Row],[Extraction]])))-1),RIGHT(_21.Nettoyer_données[[#This Row],[Extraction]],LEN(_21.Nettoyer_données[[#This Row],[Extraction]])-FIND("/",_21.Nettoyer_données[[#This Row],[Extraction]])))</f>
        <v>Nadine</v>
      </c>
      <c r="J15" s="14" t="str">
        <f>_21.Nettoyer_données[[#This Row],[Excel &lt; 2021
Nom]]&amp;" "&amp;_21.Nettoyer_données[[#This Row],[Excel &lt; 2021
Prénom]]</f>
        <v>AMO Nadine</v>
      </c>
    </row>
    <row r="16" spans="1:10">
      <c r="A16" s="5" t="s">
        <v>161</v>
      </c>
      <c r="B16" s="6"/>
      <c r="C16" s="6"/>
      <c r="D16" s="9"/>
      <c r="E16" s="44" t="str">
        <f>_xlfn.TEXTBEFORE(_21.Nettoyer_données[[#This Row],[Extraction]],"/")</f>
        <v>AREPASSÉ</v>
      </c>
      <c r="F16" s="13" t="str">
        <f>IFERROR(_xlfn.TEXTBEFORE(_xlfn.TEXTAFTER(_21.Nettoyer_données[[#This Row],[Extraction]],"/")," "),_xlfn.TEXTAFTER(_21.Nettoyer_données[[#This Row],[Extraction]],"/"))</f>
        <v>Jennifer</v>
      </c>
      <c r="G16" s="13" t="str">
        <f>_21.Nettoyer_données[[#This Row],[Correction
Nom]]&amp;" "&amp;_21.Nettoyer_données[[#This Row],[Correction
Prénom]]</f>
        <v>AREPASSÉ Jennifer</v>
      </c>
      <c r="H16" s="14" t="str">
        <f>LEFT(_21.Nettoyer_données[[#This Row],[Extraction]],FIND("/",_21.Nettoyer_données[[#This Row],[Extraction]])-1)</f>
        <v>AREPASSÉ</v>
      </c>
      <c r="I16" s="14" t="str">
        <f>IFERROR(LEFT(RIGHT(_21.Nettoyer_données[[#This Row],[Extraction]],LEN(_21.Nettoyer_données[[#This Row],[Extraction]])-FIND("/",_21.Nettoyer_données[[#This Row],[Extraction]])),FIND(" ",RIGHT(_21.Nettoyer_données[[#This Row],[Extraction]],LEN(_21.Nettoyer_données[[#This Row],[Extraction]])-FIND("/",_21.Nettoyer_données[[#This Row],[Extraction]])))-1),RIGHT(_21.Nettoyer_données[[#This Row],[Extraction]],LEN(_21.Nettoyer_données[[#This Row],[Extraction]])-FIND("/",_21.Nettoyer_données[[#This Row],[Extraction]])))</f>
        <v>Jennifer</v>
      </c>
      <c r="J16" s="14" t="str">
        <f>_21.Nettoyer_données[[#This Row],[Excel &lt; 2021
Nom]]&amp;" "&amp;_21.Nettoyer_données[[#This Row],[Excel &lt; 2021
Prénom]]</f>
        <v>AREPASSÉ Jennifer</v>
      </c>
    </row>
    <row r="17" spans="1:10">
      <c r="A17" s="5" t="s">
        <v>160</v>
      </c>
      <c r="B17" s="6"/>
      <c r="C17" s="6"/>
      <c r="D17" s="9"/>
      <c r="E17" s="44" t="str">
        <f>_xlfn.TEXTBEFORE(_21.Nettoyer_données[[#This Row],[Extraction]],"/")</f>
        <v>AREPASSÉ</v>
      </c>
      <c r="F17" s="13" t="str">
        <f>IFERROR(_xlfn.TEXTBEFORE(_xlfn.TEXTAFTER(_21.Nettoyer_données[[#This Row],[Extraction]],"/")," "),_xlfn.TEXTAFTER(_21.Nettoyer_données[[#This Row],[Extraction]],"/"))</f>
        <v>Jennifer</v>
      </c>
      <c r="G17" s="13" t="str">
        <f>_21.Nettoyer_données[[#This Row],[Correction
Nom]]&amp;" "&amp;_21.Nettoyer_données[[#This Row],[Correction
Prénom]]</f>
        <v>AREPASSÉ Jennifer</v>
      </c>
      <c r="H17" s="14" t="str">
        <f>LEFT(_21.Nettoyer_données[[#This Row],[Extraction]],FIND("/",_21.Nettoyer_données[[#This Row],[Extraction]])-1)</f>
        <v>AREPASSÉ</v>
      </c>
      <c r="I17" s="14" t="str">
        <f>IFERROR(LEFT(RIGHT(_21.Nettoyer_données[[#This Row],[Extraction]],LEN(_21.Nettoyer_données[[#This Row],[Extraction]])-FIND("/",_21.Nettoyer_données[[#This Row],[Extraction]])),FIND(" ",RIGHT(_21.Nettoyer_données[[#This Row],[Extraction]],LEN(_21.Nettoyer_données[[#This Row],[Extraction]])-FIND("/",_21.Nettoyer_données[[#This Row],[Extraction]])))-1),RIGHT(_21.Nettoyer_données[[#This Row],[Extraction]],LEN(_21.Nettoyer_données[[#This Row],[Extraction]])-FIND("/",_21.Nettoyer_données[[#This Row],[Extraction]])))</f>
        <v>Jennifer</v>
      </c>
      <c r="J17" s="14" t="str">
        <f>_21.Nettoyer_données[[#This Row],[Excel &lt; 2021
Nom]]&amp;" "&amp;_21.Nettoyer_données[[#This Row],[Excel &lt; 2021
Prénom]]</f>
        <v>AREPASSÉ Jennifer</v>
      </c>
    </row>
    <row r="18" spans="1:10">
      <c r="A18" s="5" t="s">
        <v>162</v>
      </c>
      <c r="B18" s="6"/>
      <c r="C18" s="6"/>
      <c r="D18" s="9"/>
      <c r="E18" s="44" t="str">
        <f>_xlfn.TEXTBEFORE(_21.Nettoyer_données[[#This Row],[Extraction]],"/")</f>
        <v>AREPASSÉ</v>
      </c>
      <c r="F18" s="13" t="str">
        <f>IFERROR(_xlfn.TEXTBEFORE(_xlfn.TEXTAFTER(_21.Nettoyer_données[[#This Row],[Extraction]],"/")," "),_xlfn.TEXTAFTER(_21.Nettoyer_données[[#This Row],[Extraction]],"/"))</f>
        <v>Jennifer</v>
      </c>
      <c r="G18" s="13" t="str">
        <f>_21.Nettoyer_données[[#This Row],[Correction
Nom]]&amp;" "&amp;_21.Nettoyer_données[[#This Row],[Correction
Prénom]]</f>
        <v>AREPASSÉ Jennifer</v>
      </c>
      <c r="H18" s="14" t="str">
        <f>LEFT(_21.Nettoyer_données[[#This Row],[Extraction]],FIND("/",_21.Nettoyer_données[[#This Row],[Extraction]])-1)</f>
        <v>AREPASSÉ</v>
      </c>
      <c r="I18" s="14" t="str">
        <f>IFERROR(LEFT(RIGHT(_21.Nettoyer_données[[#This Row],[Extraction]],LEN(_21.Nettoyer_données[[#This Row],[Extraction]])-FIND("/",_21.Nettoyer_données[[#This Row],[Extraction]])),FIND(" ",RIGHT(_21.Nettoyer_données[[#This Row],[Extraction]],LEN(_21.Nettoyer_données[[#This Row],[Extraction]])-FIND("/",_21.Nettoyer_données[[#This Row],[Extraction]])))-1),RIGHT(_21.Nettoyer_données[[#This Row],[Extraction]],LEN(_21.Nettoyer_données[[#This Row],[Extraction]])-FIND("/",_21.Nettoyer_données[[#This Row],[Extraction]])))</f>
        <v>Jennifer</v>
      </c>
      <c r="J18" s="14" t="str">
        <f>_21.Nettoyer_données[[#This Row],[Excel &lt; 2021
Nom]]&amp;" "&amp;_21.Nettoyer_données[[#This Row],[Excel &lt; 2021
Prénom]]</f>
        <v>AREPASSÉ Jennifer</v>
      </c>
    </row>
    <row r="19" spans="1:10">
      <c r="A19" s="5" t="s">
        <v>148</v>
      </c>
      <c r="B19" s="6"/>
      <c r="C19" s="6"/>
      <c r="D19" s="9"/>
      <c r="E19" s="44" t="str">
        <f>_xlfn.TEXTBEFORE(_21.Nettoyer_données[[#This Row],[Extraction]],"/")</f>
        <v>DEJEU</v>
      </c>
      <c r="F19" s="13" t="str">
        <f>IFERROR(_xlfn.TEXTBEFORE(_xlfn.TEXTAFTER(_21.Nettoyer_données[[#This Row],[Extraction]],"/")," "),_xlfn.TEXTAFTER(_21.Nettoyer_données[[#This Row],[Extraction]],"/"))</f>
        <v>Bernadette</v>
      </c>
      <c r="G19" s="13" t="str">
        <f>_21.Nettoyer_données[[#This Row],[Correction
Nom]]&amp;" "&amp;_21.Nettoyer_données[[#This Row],[Correction
Prénom]]</f>
        <v>DEJEU Bernadette</v>
      </c>
      <c r="H19" s="14" t="str">
        <f>LEFT(_21.Nettoyer_données[[#This Row],[Extraction]],FIND("/",_21.Nettoyer_données[[#This Row],[Extraction]])-1)</f>
        <v>DEJEU</v>
      </c>
      <c r="I19" s="14" t="str">
        <f>IFERROR(LEFT(RIGHT(_21.Nettoyer_données[[#This Row],[Extraction]],LEN(_21.Nettoyer_données[[#This Row],[Extraction]])-FIND("/",_21.Nettoyer_données[[#This Row],[Extraction]])),FIND(" ",RIGHT(_21.Nettoyer_données[[#This Row],[Extraction]],LEN(_21.Nettoyer_données[[#This Row],[Extraction]])-FIND("/",_21.Nettoyer_données[[#This Row],[Extraction]])))-1),RIGHT(_21.Nettoyer_données[[#This Row],[Extraction]],LEN(_21.Nettoyer_données[[#This Row],[Extraction]])-FIND("/",_21.Nettoyer_données[[#This Row],[Extraction]])))</f>
        <v>Bernadette</v>
      </c>
      <c r="J19" s="14" t="str">
        <f>_21.Nettoyer_données[[#This Row],[Excel &lt; 2021
Nom]]&amp;" "&amp;_21.Nettoyer_données[[#This Row],[Excel &lt; 2021
Prénom]]</f>
        <v>DEJEU Bernadette</v>
      </c>
    </row>
    <row r="20" spans="1:10">
      <c r="A20" s="5" t="s">
        <v>164</v>
      </c>
      <c r="B20" s="6"/>
      <c r="C20" s="6"/>
      <c r="D20" s="9"/>
      <c r="E20" s="44" t="str">
        <f>_xlfn.TEXTBEFORE(_21.Nettoyer_données[[#This Row],[Extraction]],"/")</f>
        <v>DELUNE</v>
      </c>
      <c r="F20" s="13" t="str">
        <f>IFERROR(_xlfn.TEXTBEFORE(_xlfn.TEXTAFTER(_21.Nettoyer_données[[#This Row],[Extraction]],"/")," "),_xlfn.TEXTAFTER(_21.Nettoyer_données[[#This Row],[Extraction]],"/"))</f>
        <v>Claire</v>
      </c>
      <c r="G20" s="13" t="str">
        <f>_21.Nettoyer_données[[#This Row],[Correction
Nom]]&amp;" "&amp;_21.Nettoyer_données[[#This Row],[Correction
Prénom]]</f>
        <v>DELUNE Claire</v>
      </c>
      <c r="H20" s="14" t="str">
        <f>LEFT(_21.Nettoyer_données[[#This Row],[Extraction]],FIND("/",_21.Nettoyer_données[[#This Row],[Extraction]])-1)</f>
        <v>DELUNE</v>
      </c>
      <c r="I20" s="14" t="str">
        <f>IFERROR(LEFT(RIGHT(_21.Nettoyer_données[[#This Row],[Extraction]],LEN(_21.Nettoyer_données[[#This Row],[Extraction]])-FIND("/",_21.Nettoyer_données[[#This Row],[Extraction]])),FIND(" ",RIGHT(_21.Nettoyer_données[[#This Row],[Extraction]],LEN(_21.Nettoyer_données[[#This Row],[Extraction]])-FIND("/",_21.Nettoyer_données[[#This Row],[Extraction]])))-1),RIGHT(_21.Nettoyer_données[[#This Row],[Extraction]],LEN(_21.Nettoyer_données[[#This Row],[Extraction]])-FIND("/",_21.Nettoyer_données[[#This Row],[Extraction]])))</f>
        <v>Claire</v>
      </c>
      <c r="J20" s="14" t="str">
        <f>_21.Nettoyer_données[[#This Row],[Excel &lt; 2021
Nom]]&amp;" "&amp;_21.Nettoyer_données[[#This Row],[Excel &lt; 2021
Prénom]]</f>
        <v>DELUNE Claire</v>
      </c>
    </row>
    <row r="21" spans="1:10">
      <c r="A21" s="5" t="s">
        <v>159</v>
      </c>
      <c r="B21" s="6"/>
      <c r="C21" s="6"/>
      <c r="D21" s="9"/>
      <c r="E21" s="44" t="str">
        <f>_xlfn.TEXTBEFORE(_21.Nettoyer_données[[#This Row],[Extraction]],"/")</f>
        <v>DEMESSE</v>
      </c>
      <c r="F21" s="13" t="str">
        <f>IFERROR(_xlfn.TEXTBEFORE(_xlfn.TEXTAFTER(_21.Nettoyer_données[[#This Row],[Extraction]],"/")," "),_xlfn.TEXTAFTER(_21.Nettoyer_données[[#This Row],[Extraction]],"/"))</f>
        <v>Michel</v>
      </c>
      <c r="G21" s="13" t="str">
        <f>_21.Nettoyer_données[[#This Row],[Correction
Nom]]&amp;" "&amp;_21.Nettoyer_données[[#This Row],[Correction
Prénom]]</f>
        <v>DEMESSE Michel</v>
      </c>
      <c r="H21" s="14" t="str">
        <f>LEFT(_21.Nettoyer_données[[#This Row],[Extraction]],FIND("/",_21.Nettoyer_données[[#This Row],[Extraction]])-1)</f>
        <v>DEMESSE</v>
      </c>
      <c r="I21" s="14" t="str">
        <f>IFERROR(LEFT(RIGHT(_21.Nettoyer_données[[#This Row],[Extraction]],LEN(_21.Nettoyer_données[[#This Row],[Extraction]])-FIND("/",_21.Nettoyer_données[[#This Row],[Extraction]])),FIND(" ",RIGHT(_21.Nettoyer_données[[#This Row],[Extraction]],LEN(_21.Nettoyer_données[[#This Row],[Extraction]])-FIND("/",_21.Nettoyer_données[[#This Row],[Extraction]])))-1),RIGHT(_21.Nettoyer_données[[#This Row],[Extraction]],LEN(_21.Nettoyer_données[[#This Row],[Extraction]])-FIND("/",_21.Nettoyer_données[[#This Row],[Extraction]])))</f>
        <v>Michel</v>
      </c>
      <c r="J21" s="14" t="str">
        <f>_21.Nettoyer_données[[#This Row],[Excel &lt; 2021
Nom]]&amp;" "&amp;_21.Nettoyer_données[[#This Row],[Excel &lt; 2021
Prénom]]</f>
        <v>DEMESSE Michel</v>
      </c>
    </row>
    <row r="22" spans="1:10">
      <c r="A22" s="5" t="s">
        <v>149</v>
      </c>
      <c r="B22" s="6"/>
      <c r="C22" s="6"/>
      <c r="D22" s="9"/>
      <c r="E22" s="44" t="str">
        <f>_xlfn.TEXTBEFORE(_21.Nettoyer_données[[#This Row],[Extraction]],"/")</f>
        <v>DEMESSE</v>
      </c>
      <c r="F22" s="13" t="str">
        <f>IFERROR(_xlfn.TEXTBEFORE(_xlfn.TEXTAFTER(_21.Nettoyer_données[[#This Row],[Extraction]],"/")," "),_xlfn.TEXTAFTER(_21.Nettoyer_données[[#This Row],[Extraction]],"/"))</f>
        <v>Michel</v>
      </c>
      <c r="G22" s="13" t="str">
        <f>_21.Nettoyer_données[[#This Row],[Correction
Nom]]&amp;" "&amp;_21.Nettoyer_données[[#This Row],[Correction
Prénom]]</f>
        <v>DEMESSE Michel</v>
      </c>
      <c r="H22" s="14" t="str">
        <f>LEFT(_21.Nettoyer_données[[#This Row],[Extraction]],FIND("/",_21.Nettoyer_données[[#This Row],[Extraction]])-1)</f>
        <v>DEMESSE</v>
      </c>
      <c r="I22" s="14" t="str">
        <f>IFERROR(LEFT(RIGHT(_21.Nettoyer_données[[#This Row],[Extraction]],LEN(_21.Nettoyer_données[[#This Row],[Extraction]])-FIND("/",_21.Nettoyer_données[[#This Row],[Extraction]])),FIND(" ",RIGHT(_21.Nettoyer_données[[#This Row],[Extraction]],LEN(_21.Nettoyer_données[[#This Row],[Extraction]])-FIND("/",_21.Nettoyer_données[[#This Row],[Extraction]])))-1),RIGHT(_21.Nettoyer_données[[#This Row],[Extraction]],LEN(_21.Nettoyer_données[[#This Row],[Extraction]])-FIND("/",_21.Nettoyer_données[[#This Row],[Extraction]])))</f>
        <v>Michel</v>
      </c>
      <c r="J22" s="14" t="str">
        <f>_21.Nettoyer_données[[#This Row],[Excel &lt; 2021
Nom]]&amp;" "&amp;_21.Nettoyer_données[[#This Row],[Excel &lt; 2021
Prénom]]</f>
        <v>DEMESSE Michel</v>
      </c>
    </row>
    <row r="23" spans="1:10">
      <c r="A23" s="5" t="s">
        <v>166</v>
      </c>
      <c r="B23" s="6"/>
      <c r="C23" s="6"/>
      <c r="D23" s="9"/>
      <c r="E23" s="44" t="str">
        <f>_xlfn.TEXTBEFORE(_21.Nettoyer_données[[#This Row],[Extraction]],"/")</f>
        <v>GLACE</v>
      </c>
      <c r="F23" s="13" t="str">
        <f>IFERROR(_xlfn.TEXTBEFORE(_xlfn.TEXTAFTER(_21.Nettoyer_données[[#This Row],[Extraction]],"/")," "),_xlfn.TEXTAFTER(_21.Nettoyer_données[[#This Row],[Extraction]],"/"))</f>
        <v>Brice</v>
      </c>
      <c r="G23" s="13" t="str">
        <f>_21.Nettoyer_données[[#This Row],[Correction
Nom]]&amp;" "&amp;_21.Nettoyer_données[[#This Row],[Correction
Prénom]]</f>
        <v>GLACE Brice</v>
      </c>
      <c r="H23" s="14" t="str">
        <f>LEFT(_21.Nettoyer_données[[#This Row],[Extraction]],FIND("/",_21.Nettoyer_données[[#This Row],[Extraction]])-1)</f>
        <v>GLACE</v>
      </c>
      <c r="I23" s="14" t="str">
        <f>IFERROR(LEFT(RIGHT(_21.Nettoyer_données[[#This Row],[Extraction]],LEN(_21.Nettoyer_données[[#This Row],[Extraction]])-FIND("/",_21.Nettoyer_données[[#This Row],[Extraction]])),FIND(" ",RIGHT(_21.Nettoyer_données[[#This Row],[Extraction]],LEN(_21.Nettoyer_données[[#This Row],[Extraction]])-FIND("/",_21.Nettoyer_données[[#This Row],[Extraction]])))-1),RIGHT(_21.Nettoyer_données[[#This Row],[Extraction]],LEN(_21.Nettoyer_données[[#This Row],[Extraction]])-FIND("/",_21.Nettoyer_données[[#This Row],[Extraction]])))</f>
        <v>Brice</v>
      </c>
      <c r="J23" s="14" t="str">
        <f>_21.Nettoyer_données[[#This Row],[Excel &lt; 2021
Nom]]&amp;" "&amp;_21.Nettoyer_données[[#This Row],[Excel &lt; 2021
Prénom]]</f>
        <v>GLACE Brice</v>
      </c>
    </row>
    <row r="24" spans="1:10">
      <c r="A24" s="5" t="s">
        <v>165</v>
      </c>
      <c r="B24" s="6"/>
      <c r="C24" s="6"/>
      <c r="D24" s="9"/>
      <c r="E24" s="44" t="str">
        <f>_xlfn.TEXTBEFORE(_21.Nettoyer_données[[#This Row],[Extraction]],"/")</f>
        <v>GLACE</v>
      </c>
      <c r="F24" s="13" t="str">
        <f>IFERROR(_xlfn.TEXTBEFORE(_xlfn.TEXTAFTER(_21.Nettoyer_données[[#This Row],[Extraction]],"/")," "),_xlfn.TEXTAFTER(_21.Nettoyer_données[[#This Row],[Extraction]],"/"))</f>
        <v>Brice</v>
      </c>
      <c r="G24" s="13" t="str">
        <f>_21.Nettoyer_données[[#This Row],[Correction
Nom]]&amp;" "&amp;_21.Nettoyer_données[[#This Row],[Correction
Prénom]]</f>
        <v>GLACE Brice</v>
      </c>
      <c r="H24" s="14" t="str">
        <f>LEFT(_21.Nettoyer_données[[#This Row],[Extraction]],FIND("/",_21.Nettoyer_données[[#This Row],[Extraction]])-1)</f>
        <v>GLACE</v>
      </c>
      <c r="I24" s="14" t="str">
        <f>IFERROR(LEFT(RIGHT(_21.Nettoyer_données[[#This Row],[Extraction]],LEN(_21.Nettoyer_données[[#This Row],[Extraction]])-FIND("/",_21.Nettoyer_données[[#This Row],[Extraction]])),FIND(" ",RIGHT(_21.Nettoyer_données[[#This Row],[Extraction]],LEN(_21.Nettoyer_données[[#This Row],[Extraction]])-FIND("/",_21.Nettoyer_données[[#This Row],[Extraction]])))-1),RIGHT(_21.Nettoyer_données[[#This Row],[Extraction]],LEN(_21.Nettoyer_données[[#This Row],[Extraction]])-FIND("/",_21.Nettoyer_données[[#This Row],[Extraction]])))</f>
        <v>Brice</v>
      </c>
      <c r="J24" s="14" t="str">
        <f>_21.Nettoyer_données[[#This Row],[Excel &lt; 2021
Nom]]&amp;" "&amp;_21.Nettoyer_données[[#This Row],[Excel &lt; 2021
Prénom]]</f>
        <v>GLACE Brice</v>
      </c>
    </row>
    <row r="25" spans="1:10">
      <c r="A25" s="5" t="s">
        <v>150</v>
      </c>
      <c r="B25" s="6"/>
      <c r="C25" s="6"/>
      <c r="D25" s="9"/>
      <c r="E25" s="44" t="str">
        <f>_xlfn.TEXTBEFORE(_21.Nettoyer_données[[#This Row],[Extraction]],"/")</f>
        <v>GREC</v>
      </c>
      <c r="F25" s="13" t="str">
        <f>IFERROR(_xlfn.TEXTBEFORE(_xlfn.TEXTAFTER(_21.Nettoyer_données[[#This Row],[Extraction]],"/")," "),_xlfn.TEXTAFTER(_21.Nettoyer_données[[#This Row],[Extraction]],"/"))</f>
        <v>Edmond</v>
      </c>
      <c r="G25" s="13" t="str">
        <f>_21.Nettoyer_données[[#This Row],[Correction
Nom]]&amp;" "&amp;_21.Nettoyer_données[[#This Row],[Correction
Prénom]]</f>
        <v>GREC Edmond</v>
      </c>
      <c r="H25" s="14" t="str">
        <f>LEFT(_21.Nettoyer_données[[#This Row],[Extraction]],FIND("/",_21.Nettoyer_données[[#This Row],[Extraction]])-1)</f>
        <v>GREC</v>
      </c>
      <c r="I25" s="14" t="str">
        <f>IFERROR(LEFT(RIGHT(_21.Nettoyer_données[[#This Row],[Extraction]],LEN(_21.Nettoyer_données[[#This Row],[Extraction]])-FIND("/",_21.Nettoyer_données[[#This Row],[Extraction]])),FIND(" ",RIGHT(_21.Nettoyer_données[[#This Row],[Extraction]],LEN(_21.Nettoyer_données[[#This Row],[Extraction]])-FIND("/",_21.Nettoyer_données[[#This Row],[Extraction]])))-1),RIGHT(_21.Nettoyer_données[[#This Row],[Extraction]],LEN(_21.Nettoyer_données[[#This Row],[Extraction]])-FIND("/",_21.Nettoyer_données[[#This Row],[Extraction]])))</f>
        <v>Edmond</v>
      </c>
      <c r="J25" s="14" t="str">
        <f>_21.Nettoyer_données[[#This Row],[Excel &lt; 2021
Nom]]&amp;" "&amp;_21.Nettoyer_données[[#This Row],[Excel &lt; 2021
Prénom]]</f>
        <v>GREC Edmond</v>
      </c>
    </row>
    <row r="26" spans="1:10">
      <c r="A26" s="5" t="s">
        <v>167</v>
      </c>
      <c r="B26" s="6"/>
      <c r="C26" s="6"/>
      <c r="D26" s="9"/>
      <c r="E26" s="44" t="str">
        <f>_xlfn.TEXTBEFORE(_21.Nettoyer_données[[#This Row],[Extraction]],"/")</f>
        <v>HABA</v>
      </c>
      <c r="F26" s="13" t="str">
        <f>IFERROR(_xlfn.TEXTBEFORE(_xlfn.TEXTAFTER(_21.Nettoyer_données[[#This Row],[Extraction]],"/")," "),_xlfn.TEXTAFTER(_21.Nettoyer_données[[#This Row],[Extraction]],"/"))</f>
        <v>Bart</v>
      </c>
      <c r="G26" s="13" t="str">
        <f>_21.Nettoyer_données[[#This Row],[Correction
Nom]]&amp;" "&amp;_21.Nettoyer_données[[#This Row],[Correction
Prénom]]</f>
        <v>HABA Bart</v>
      </c>
      <c r="H26" s="14" t="str">
        <f>LEFT(_21.Nettoyer_données[[#This Row],[Extraction]],FIND("/",_21.Nettoyer_données[[#This Row],[Extraction]])-1)</f>
        <v>HABA</v>
      </c>
      <c r="I26" s="14" t="str">
        <f>IFERROR(LEFT(RIGHT(_21.Nettoyer_données[[#This Row],[Extraction]],LEN(_21.Nettoyer_données[[#This Row],[Extraction]])-FIND("/",_21.Nettoyer_données[[#This Row],[Extraction]])),FIND(" ",RIGHT(_21.Nettoyer_données[[#This Row],[Extraction]],LEN(_21.Nettoyer_données[[#This Row],[Extraction]])-FIND("/",_21.Nettoyer_données[[#This Row],[Extraction]])))-1),RIGHT(_21.Nettoyer_données[[#This Row],[Extraction]],LEN(_21.Nettoyer_données[[#This Row],[Extraction]])-FIND("/",_21.Nettoyer_données[[#This Row],[Extraction]])))</f>
        <v>Bart</v>
      </c>
      <c r="J26" s="14" t="str">
        <f>_21.Nettoyer_données[[#This Row],[Excel &lt; 2021
Nom]]&amp;" "&amp;_21.Nettoyer_données[[#This Row],[Excel &lt; 2021
Prénom]]</f>
        <v>HABA Bart</v>
      </c>
    </row>
    <row r="27" spans="1:10">
      <c r="A27" s="5" t="s">
        <v>168</v>
      </c>
      <c r="B27" s="6"/>
      <c r="C27" s="6"/>
      <c r="D27" s="9"/>
      <c r="E27" s="44" t="str">
        <f>_xlfn.TEXTBEFORE(_21.Nettoyer_données[[#This Row],[Extraction]],"/")</f>
        <v>HABA</v>
      </c>
      <c r="F27" s="13" t="str">
        <f>IFERROR(_xlfn.TEXTBEFORE(_xlfn.TEXTAFTER(_21.Nettoyer_données[[#This Row],[Extraction]],"/")," "),_xlfn.TEXTAFTER(_21.Nettoyer_données[[#This Row],[Extraction]],"/"))</f>
        <v>Bart</v>
      </c>
      <c r="G27" s="13" t="str">
        <f>_21.Nettoyer_données[[#This Row],[Correction
Nom]]&amp;" "&amp;_21.Nettoyer_données[[#This Row],[Correction
Prénom]]</f>
        <v>HABA Bart</v>
      </c>
      <c r="H27" s="14" t="str">
        <f>LEFT(_21.Nettoyer_données[[#This Row],[Extraction]],FIND("/",_21.Nettoyer_données[[#This Row],[Extraction]])-1)</f>
        <v>HABA</v>
      </c>
      <c r="I27" s="14" t="str">
        <f>IFERROR(LEFT(RIGHT(_21.Nettoyer_données[[#This Row],[Extraction]],LEN(_21.Nettoyer_données[[#This Row],[Extraction]])-FIND("/",_21.Nettoyer_données[[#This Row],[Extraction]])),FIND(" ",RIGHT(_21.Nettoyer_données[[#This Row],[Extraction]],LEN(_21.Nettoyer_données[[#This Row],[Extraction]])-FIND("/",_21.Nettoyer_données[[#This Row],[Extraction]])))-1),RIGHT(_21.Nettoyer_données[[#This Row],[Extraction]],LEN(_21.Nettoyer_données[[#This Row],[Extraction]])-FIND("/",_21.Nettoyer_données[[#This Row],[Extraction]])))</f>
        <v>Bart</v>
      </c>
      <c r="J27" s="14" t="str">
        <f>_21.Nettoyer_données[[#This Row],[Excel &lt; 2021
Nom]]&amp;" "&amp;_21.Nettoyer_données[[#This Row],[Excel &lt; 2021
Prénom]]</f>
        <v>HABA Bart</v>
      </c>
    </row>
    <row r="28" spans="1:10">
      <c r="A28" s="5" t="s">
        <v>169</v>
      </c>
      <c r="B28" s="6"/>
      <c r="C28" s="6"/>
      <c r="D28" s="9"/>
      <c r="E28" s="44" t="str">
        <f>_xlfn.TEXTBEFORE(_21.Nettoyer_données[[#This Row],[Extraction]],"/")</f>
        <v>HABA</v>
      </c>
      <c r="F28" s="13" t="str">
        <f>IFERROR(_xlfn.TEXTBEFORE(_xlfn.TEXTAFTER(_21.Nettoyer_données[[#This Row],[Extraction]],"/")," "),_xlfn.TEXTAFTER(_21.Nettoyer_données[[#This Row],[Extraction]],"/"))</f>
        <v>Bart</v>
      </c>
      <c r="G28" s="13" t="str">
        <f>_21.Nettoyer_données[[#This Row],[Correction
Nom]]&amp;" "&amp;_21.Nettoyer_données[[#This Row],[Correction
Prénom]]</f>
        <v>HABA Bart</v>
      </c>
      <c r="H28" s="14" t="str">
        <f>LEFT(_21.Nettoyer_données[[#This Row],[Extraction]],FIND("/",_21.Nettoyer_données[[#This Row],[Extraction]])-1)</f>
        <v>HABA</v>
      </c>
      <c r="I28" s="14" t="str">
        <f>IFERROR(LEFT(RIGHT(_21.Nettoyer_données[[#This Row],[Extraction]],LEN(_21.Nettoyer_données[[#This Row],[Extraction]])-FIND("/",_21.Nettoyer_données[[#This Row],[Extraction]])),FIND(" ",RIGHT(_21.Nettoyer_données[[#This Row],[Extraction]],LEN(_21.Nettoyer_données[[#This Row],[Extraction]])-FIND("/",_21.Nettoyer_données[[#This Row],[Extraction]])))-1),RIGHT(_21.Nettoyer_données[[#This Row],[Extraction]],LEN(_21.Nettoyer_données[[#This Row],[Extraction]])-FIND("/",_21.Nettoyer_données[[#This Row],[Extraction]])))</f>
        <v>Bart</v>
      </c>
      <c r="J28" s="14" t="str">
        <f>_21.Nettoyer_données[[#This Row],[Excel &lt; 2021
Nom]]&amp;" "&amp;_21.Nettoyer_données[[#This Row],[Excel &lt; 2021
Prénom]]</f>
        <v>HABA Bart</v>
      </c>
    </row>
    <row r="29" spans="1:10">
      <c r="A29" s="5" t="s">
        <v>170</v>
      </c>
      <c r="B29" s="6"/>
      <c r="C29" s="6"/>
      <c r="D29" s="9"/>
      <c r="E29" s="44" t="str">
        <f>_xlfn.TEXTBEFORE(_21.Nettoyer_données[[#This Row],[Extraction]],"/")</f>
        <v>HO</v>
      </c>
      <c r="F29" s="13" t="str">
        <f>IFERROR(_xlfn.TEXTBEFORE(_xlfn.TEXTAFTER(_21.Nettoyer_données[[#This Row],[Extraction]],"/")," "),_xlfn.TEXTAFTER(_21.Nettoyer_données[[#This Row],[Extraction]],"/"))</f>
        <v>Bob</v>
      </c>
      <c r="G29" s="13" t="str">
        <f>_21.Nettoyer_données[[#This Row],[Correction
Nom]]&amp;" "&amp;_21.Nettoyer_données[[#This Row],[Correction
Prénom]]</f>
        <v>HO Bob</v>
      </c>
      <c r="H29" s="14" t="str">
        <f>LEFT(_21.Nettoyer_données[[#This Row],[Extraction]],FIND("/",_21.Nettoyer_données[[#This Row],[Extraction]])-1)</f>
        <v>HO</v>
      </c>
      <c r="I29" s="14" t="str">
        <f>IFERROR(LEFT(RIGHT(_21.Nettoyer_données[[#This Row],[Extraction]],LEN(_21.Nettoyer_données[[#This Row],[Extraction]])-FIND("/",_21.Nettoyer_données[[#This Row],[Extraction]])),FIND(" ",RIGHT(_21.Nettoyer_données[[#This Row],[Extraction]],LEN(_21.Nettoyer_données[[#This Row],[Extraction]])-FIND("/",_21.Nettoyer_données[[#This Row],[Extraction]])))-1),RIGHT(_21.Nettoyer_données[[#This Row],[Extraction]],LEN(_21.Nettoyer_données[[#This Row],[Extraction]])-FIND("/",_21.Nettoyer_données[[#This Row],[Extraction]])))</f>
        <v>Bob</v>
      </c>
      <c r="J29" s="14" t="str">
        <f>_21.Nettoyer_données[[#This Row],[Excel &lt; 2021
Nom]]&amp;" "&amp;_21.Nettoyer_données[[#This Row],[Excel &lt; 2021
Prénom]]</f>
        <v>HO Bob</v>
      </c>
    </row>
    <row r="30" spans="1:10">
      <c r="A30" s="5" t="s">
        <v>171</v>
      </c>
      <c r="B30" s="6"/>
      <c r="C30" s="6"/>
      <c r="D30" s="9"/>
      <c r="E30" s="44" t="str">
        <f>_xlfn.TEXTBEFORE(_21.Nettoyer_données[[#This Row],[Extraction]],"/")</f>
        <v>HO</v>
      </c>
      <c r="F30" s="13" t="str">
        <f>IFERROR(_xlfn.TEXTBEFORE(_xlfn.TEXTAFTER(_21.Nettoyer_données[[#This Row],[Extraction]],"/")," "),_xlfn.TEXTAFTER(_21.Nettoyer_données[[#This Row],[Extraction]],"/"))</f>
        <v>Bob</v>
      </c>
      <c r="G30" s="13" t="str">
        <f>_21.Nettoyer_données[[#This Row],[Correction
Nom]]&amp;" "&amp;_21.Nettoyer_données[[#This Row],[Correction
Prénom]]</f>
        <v>HO Bob</v>
      </c>
      <c r="H30" s="14" t="str">
        <f>LEFT(_21.Nettoyer_données[[#This Row],[Extraction]],FIND("/",_21.Nettoyer_données[[#This Row],[Extraction]])-1)</f>
        <v>HO</v>
      </c>
      <c r="I30" s="14" t="str">
        <f>IFERROR(LEFT(RIGHT(_21.Nettoyer_données[[#This Row],[Extraction]],LEN(_21.Nettoyer_données[[#This Row],[Extraction]])-FIND("/",_21.Nettoyer_données[[#This Row],[Extraction]])),FIND(" ",RIGHT(_21.Nettoyer_données[[#This Row],[Extraction]],LEN(_21.Nettoyer_données[[#This Row],[Extraction]])-FIND("/",_21.Nettoyer_données[[#This Row],[Extraction]])))-1),RIGHT(_21.Nettoyer_données[[#This Row],[Extraction]],LEN(_21.Nettoyer_données[[#This Row],[Extraction]])-FIND("/",_21.Nettoyer_données[[#This Row],[Extraction]])))</f>
        <v>Bob</v>
      </c>
      <c r="J30" s="14" t="str">
        <f>_21.Nettoyer_données[[#This Row],[Excel &lt; 2021
Nom]]&amp;" "&amp;_21.Nettoyer_données[[#This Row],[Excel &lt; 2021
Prénom]]</f>
        <v>HO Bob</v>
      </c>
    </row>
    <row r="31" spans="1:10">
      <c r="A31" s="5" t="s">
        <v>172</v>
      </c>
      <c r="B31" s="6"/>
      <c r="C31" s="6"/>
      <c r="D31" s="9"/>
      <c r="E31" s="44" t="str">
        <f>_xlfn.TEXTBEFORE(_21.Nettoyer_données[[#This Row],[Extraction]],"/")</f>
        <v>HO</v>
      </c>
      <c r="F31" s="13" t="str">
        <f>IFERROR(_xlfn.TEXTBEFORE(_xlfn.TEXTAFTER(_21.Nettoyer_données[[#This Row],[Extraction]],"/")," "),_xlfn.TEXTAFTER(_21.Nettoyer_données[[#This Row],[Extraction]],"/"))</f>
        <v>Bob</v>
      </c>
      <c r="G31" s="13" t="str">
        <f>_21.Nettoyer_données[[#This Row],[Correction
Nom]]&amp;" "&amp;_21.Nettoyer_données[[#This Row],[Correction
Prénom]]</f>
        <v>HO Bob</v>
      </c>
      <c r="H31" s="14" t="str">
        <f>LEFT(_21.Nettoyer_données[[#This Row],[Extraction]],FIND("/",_21.Nettoyer_données[[#This Row],[Extraction]])-1)</f>
        <v>HO</v>
      </c>
      <c r="I31" s="14" t="str">
        <f>IFERROR(LEFT(RIGHT(_21.Nettoyer_données[[#This Row],[Extraction]],LEN(_21.Nettoyer_données[[#This Row],[Extraction]])-FIND("/",_21.Nettoyer_données[[#This Row],[Extraction]])),FIND(" ",RIGHT(_21.Nettoyer_données[[#This Row],[Extraction]],LEN(_21.Nettoyer_données[[#This Row],[Extraction]])-FIND("/",_21.Nettoyer_données[[#This Row],[Extraction]])))-1),RIGHT(_21.Nettoyer_données[[#This Row],[Extraction]],LEN(_21.Nettoyer_données[[#This Row],[Extraction]])-FIND("/",_21.Nettoyer_données[[#This Row],[Extraction]])))</f>
        <v>Bob</v>
      </c>
      <c r="J31" s="14" t="str">
        <f>_21.Nettoyer_données[[#This Row],[Excel &lt; 2021
Nom]]&amp;" "&amp;_21.Nettoyer_données[[#This Row],[Excel &lt; 2021
Prénom]]</f>
        <v>HO Bob</v>
      </c>
    </row>
    <row r="32" spans="1:10">
      <c r="A32" s="5" t="s">
        <v>151</v>
      </c>
      <c r="B32" s="6"/>
      <c r="C32" s="6"/>
      <c r="D32" s="9"/>
      <c r="E32" s="44" t="str">
        <f>_xlfn.TEXTBEFORE(_21.Nettoyer_données[[#This Row],[Extraction]],"/")</f>
        <v>HO</v>
      </c>
      <c r="F32" s="13" t="str">
        <f>IFERROR(_xlfn.TEXTBEFORE(_xlfn.TEXTAFTER(_21.Nettoyer_données[[#This Row],[Extraction]],"/")," "),_xlfn.TEXTAFTER(_21.Nettoyer_données[[#This Row],[Extraction]],"/"))</f>
        <v>Bob</v>
      </c>
      <c r="G32" s="13" t="str">
        <f>_21.Nettoyer_données[[#This Row],[Correction
Nom]]&amp;" "&amp;_21.Nettoyer_données[[#This Row],[Correction
Prénom]]</f>
        <v>HO Bob</v>
      </c>
      <c r="H32" s="14" t="str">
        <f>LEFT(_21.Nettoyer_données[[#This Row],[Extraction]],FIND("/",_21.Nettoyer_données[[#This Row],[Extraction]])-1)</f>
        <v>HO</v>
      </c>
      <c r="I32" s="14" t="str">
        <f>IFERROR(LEFT(RIGHT(_21.Nettoyer_données[[#This Row],[Extraction]],LEN(_21.Nettoyer_données[[#This Row],[Extraction]])-FIND("/",_21.Nettoyer_données[[#This Row],[Extraction]])),FIND(" ",RIGHT(_21.Nettoyer_données[[#This Row],[Extraction]],LEN(_21.Nettoyer_données[[#This Row],[Extraction]])-FIND("/",_21.Nettoyer_données[[#This Row],[Extraction]])))-1),RIGHT(_21.Nettoyer_données[[#This Row],[Extraction]],LEN(_21.Nettoyer_données[[#This Row],[Extraction]])-FIND("/",_21.Nettoyer_données[[#This Row],[Extraction]])))</f>
        <v>Bob</v>
      </c>
      <c r="J32" s="14" t="str">
        <f>_21.Nettoyer_données[[#This Row],[Excel &lt; 2021
Nom]]&amp;" "&amp;_21.Nettoyer_données[[#This Row],[Excel &lt; 2021
Prénom]]</f>
        <v>HO Bob</v>
      </c>
    </row>
    <row r="33" spans="1:10">
      <c r="A33" s="5" t="s">
        <v>152</v>
      </c>
      <c r="B33" s="6"/>
      <c r="C33" s="6"/>
      <c r="D33" s="9"/>
      <c r="E33" s="44" t="str">
        <f>_xlfn.TEXTBEFORE(_21.Nettoyer_données[[#This Row],[Extraction]],"/")</f>
        <v>OCHOCOLA</v>
      </c>
      <c r="F33" s="13" t="str">
        <f>IFERROR(_xlfn.TEXTBEFORE(_xlfn.TEXTAFTER(_21.Nettoyer_données[[#This Row],[Extraction]],"/")," "),_xlfn.TEXTAFTER(_21.Nettoyer_données[[#This Row],[Extraction]],"/"))</f>
        <v>Douglas</v>
      </c>
      <c r="G33" s="13" t="str">
        <f>_21.Nettoyer_données[[#This Row],[Correction
Nom]]&amp;" "&amp;_21.Nettoyer_données[[#This Row],[Correction
Prénom]]</f>
        <v>OCHOCOLA Douglas</v>
      </c>
      <c r="H33" s="14" t="str">
        <f>LEFT(_21.Nettoyer_données[[#This Row],[Extraction]],FIND("/",_21.Nettoyer_données[[#This Row],[Extraction]])-1)</f>
        <v>OCHOCOLA</v>
      </c>
      <c r="I33" s="14" t="str">
        <f>IFERROR(LEFT(RIGHT(_21.Nettoyer_données[[#This Row],[Extraction]],LEN(_21.Nettoyer_données[[#This Row],[Extraction]])-FIND("/",_21.Nettoyer_données[[#This Row],[Extraction]])),FIND(" ",RIGHT(_21.Nettoyer_données[[#This Row],[Extraction]],LEN(_21.Nettoyer_données[[#This Row],[Extraction]])-FIND("/",_21.Nettoyer_données[[#This Row],[Extraction]])))-1),RIGHT(_21.Nettoyer_données[[#This Row],[Extraction]],LEN(_21.Nettoyer_données[[#This Row],[Extraction]])-FIND("/",_21.Nettoyer_données[[#This Row],[Extraction]])))</f>
        <v>Douglas</v>
      </c>
      <c r="J33" s="14" t="str">
        <f>_21.Nettoyer_données[[#This Row],[Excel &lt; 2021
Nom]]&amp;" "&amp;_21.Nettoyer_données[[#This Row],[Excel &lt; 2021
Prénom]]</f>
        <v>OCHOCOLA Douglas</v>
      </c>
    </row>
    <row r="34" spans="1:10">
      <c r="A34" s="5" t="s">
        <v>174</v>
      </c>
      <c r="B34" s="6"/>
      <c r="C34" s="6"/>
      <c r="D34" s="9"/>
      <c r="E34" s="44" t="str">
        <f>_xlfn.TEXTBEFORE(_21.Nettoyer_données[[#This Row],[Extraction]],"/")</f>
        <v>OCHOCOLA</v>
      </c>
      <c r="F34" s="13" t="str">
        <f>IFERROR(_xlfn.TEXTBEFORE(_xlfn.TEXTAFTER(_21.Nettoyer_données[[#This Row],[Extraction]],"/")," "),_xlfn.TEXTAFTER(_21.Nettoyer_données[[#This Row],[Extraction]],"/"))</f>
        <v>Douglas</v>
      </c>
      <c r="G34" s="13" t="str">
        <f>_21.Nettoyer_données[[#This Row],[Correction
Nom]]&amp;" "&amp;_21.Nettoyer_données[[#This Row],[Correction
Prénom]]</f>
        <v>OCHOCOLA Douglas</v>
      </c>
      <c r="H34" s="14" t="str">
        <f>LEFT(_21.Nettoyer_données[[#This Row],[Extraction]],FIND("/",_21.Nettoyer_données[[#This Row],[Extraction]])-1)</f>
        <v>OCHOCOLA</v>
      </c>
      <c r="I34" s="14" t="str">
        <f>IFERROR(LEFT(RIGHT(_21.Nettoyer_données[[#This Row],[Extraction]],LEN(_21.Nettoyer_données[[#This Row],[Extraction]])-FIND("/",_21.Nettoyer_données[[#This Row],[Extraction]])),FIND(" ",RIGHT(_21.Nettoyer_données[[#This Row],[Extraction]],LEN(_21.Nettoyer_données[[#This Row],[Extraction]])-FIND("/",_21.Nettoyer_données[[#This Row],[Extraction]])))-1),RIGHT(_21.Nettoyer_données[[#This Row],[Extraction]],LEN(_21.Nettoyer_données[[#This Row],[Extraction]])-FIND("/",_21.Nettoyer_données[[#This Row],[Extraction]])))</f>
        <v>Douglas</v>
      </c>
      <c r="J34" s="14" t="str">
        <f>_21.Nettoyer_données[[#This Row],[Excel &lt; 2021
Nom]]&amp;" "&amp;_21.Nettoyer_données[[#This Row],[Excel &lt; 2021
Prénom]]</f>
        <v>OCHOCOLA Douglas</v>
      </c>
    </row>
    <row r="35" spans="1:10">
      <c r="A35" s="5" t="s">
        <v>175</v>
      </c>
      <c r="B35" s="6"/>
      <c r="C35" s="6"/>
      <c r="D35" s="9"/>
      <c r="E35" s="44" t="str">
        <f>_xlfn.TEXTBEFORE(_21.Nettoyer_données[[#This Row],[Extraction]],"/")</f>
        <v>OCHOCOLA</v>
      </c>
      <c r="F35" s="13" t="str">
        <f>IFERROR(_xlfn.TEXTBEFORE(_xlfn.TEXTAFTER(_21.Nettoyer_données[[#This Row],[Extraction]],"/")," "),_xlfn.TEXTAFTER(_21.Nettoyer_données[[#This Row],[Extraction]],"/"))</f>
        <v>Douglas</v>
      </c>
      <c r="G35" s="13" t="str">
        <f>_21.Nettoyer_données[[#This Row],[Correction
Nom]]&amp;" "&amp;_21.Nettoyer_données[[#This Row],[Correction
Prénom]]</f>
        <v>OCHOCOLA Douglas</v>
      </c>
      <c r="H35" s="14" t="str">
        <f>LEFT(_21.Nettoyer_données[[#This Row],[Extraction]],FIND("/",_21.Nettoyer_données[[#This Row],[Extraction]])-1)</f>
        <v>OCHOCOLA</v>
      </c>
      <c r="I35" s="14" t="str">
        <f>IFERROR(LEFT(RIGHT(_21.Nettoyer_données[[#This Row],[Extraction]],LEN(_21.Nettoyer_données[[#This Row],[Extraction]])-FIND("/",_21.Nettoyer_données[[#This Row],[Extraction]])),FIND(" ",RIGHT(_21.Nettoyer_données[[#This Row],[Extraction]],LEN(_21.Nettoyer_données[[#This Row],[Extraction]])-FIND("/",_21.Nettoyer_données[[#This Row],[Extraction]])))-1),RIGHT(_21.Nettoyer_données[[#This Row],[Extraction]],LEN(_21.Nettoyer_données[[#This Row],[Extraction]])-FIND("/",_21.Nettoyer_données[[#This Row],[Extraction]])))</f>
        <v>Douglas</v>
      </c>
      <c r="J35" s="14" t="str">
        <f>_21.Nettoyer_données[[#This Row],[Excel &lt; 2021
Nom]]&amp;" "&amp;_21.Nettoyer_données[[#This Row],[Excel &lt; 2021
Prénom]]</f>
        <v>OCHOCOLA Douglas</v>
      </c>
    </row>
    <row r="36" spans="1:10">
      <c r="A36" s="5" t="s">
        <v>152</v>
      </c>
      <c r="B36" s="6"/>
      <c r="C36" s="6"/>
      <c r="D36" s="9"/>
      <c r="E36" s="44" t="str">
        <f>_xlfn.TEXTBEFORE(_21.Nettoyer_données[[#This Row],[Extraction]],"/")</f>
        <v>OCHOCOLA</v>
      </c>
      <c r="F36" s="13" t="str">
        <f>IFERROR(_xlfn.TEXTBEFORE(_xlfn.TEXTAFTER(_21.Nettoyer_données[[#This Row],[Extraction]],"/")," "),_xlfn.TEXTAFTER(_21.Nettoyer_données[[#This Row],[Extraction]],"/"))</f>
        <v>Douglas</v>
      </c>
      <c r="G36" s="13" t="str">
        <f>_21.Nettoyer_données[[#This Row],[Correction
Nom]]&amp;" "&amp;_21.Nettoyer_données[[#This Row],[Correction
Prénom]]</f>
        <v>OCHOCOLA Douglas</v>
      </c>
      <c r="H36" s="14" t="str">
        <f>LEFT(_21.Nettoyer_données[[#This Row],[Extraction]],FIND("/",_21.Nettoyer_données[[#This Row],[Extraction]])-1)</f>
        <v>OCHOCOLA</v>
      </c>
      <c r="I36" s="14" t="str">
        <f>IFERROR(LEFT(RIGHT(_21.Nettoyer_données[[#This Row],[Extraction]],LEN(_21.Nettoyer_données[[#This Row],[Extraction]])-FIND("/",_21.Nettoyer_données[[#This Row],[Extraction]])),FIND(" ",RIGHT(_21.Nettoyer_données[[#This Row],[Extraction]],LEN(_21.Nettoyer_données[[#This Row],[Extraction]])-FIND("/",_21.Nettoyer_données[[#This Row],[Extraction]])))-1),RIGHT(_21.Nettoyer_données[[#This Row],[Extraction]],LEN(_21.Nettoyer_données[[#This Row],[Extraction]])-FIND("/",_21.Nettoyer_données[[#This Row],[Extraction]])))</f>
        <v>Douglas</v>
      </c>
      <c r="J36" s="14" t="str">
        <f>_21.Nettoyer_données[[#This Row],[Excel &lt; 2021
Nom]]&amp;" "&amp;_21.Nettoyer_données[[#This Row],[Excel &lt; 2021
Prénom]]</f>
        <v>OCHOCOLA Douglas</v>
      </c>
    </row>
    <row r="37" spans="1:10">
      <c r="A37" s="5" t="s">
        <v>173</v>
      </c>
      <c r="B37" s="6"/>
      <c r="C37" s="6"/>
      <c r="D37" s="9"/>
      <c r="E37" s="44" t="str">
        <f>_xlfn.TEXTBEFORE(_21.Nettoyer_données[[#This Row],[Extraction]],"/")</f>
        <v>OCHOCOLA</v>
      </c>
      <c r="F37" s="13" t="str">
        <f>IFERROR(_xlfn.TEXTBEFORE(_xlfn.TEXTAFTER(_21.Nettoyer_données[[#This Row],[Extraction]],"/")," "),_xlfn.TEXTAFTER(_21.Nettoyer_données[[#This Row],[Extraction]],"/"))</f>
        <v>Douglas</v>
      </c>
      <c r="G37" s="13" t="str">
        <f>_21.Nettoyer_données[[#This Row],[Correction
Nom]]&amp;" "&amp;_21.Nettoyer_données[[#This Row],[Correction
Prénom]]</f>
        <v>OCHOCOLA Douglas</v>
      </c>
      <c r="H37" s="14" t="str">
        <f>LEFT(_21.Nettoyer_données[[#This Row],[Extraction]],FIND("/",_21.Nettoyer_données[[#This Row],[Extraction]])-1)</f>
        <v>OCHOCOLA</v>
      </c>
      <c r="I37" s="14" t="str">
        <f>IFERROR(LEFT(RIGHT(_21.Nettoyer_données[[#This Row],[Extraction]],LEN(_21.Nettoyer_données[[#This Row],[Extraction]])-FIND("/",_21.Nettoyer_données[[#This Row],[Extraction]])),FIND(" ",RIGHT(_21.Nettoyer_données[[#This Row],[Extraction]],LEN(_21.Nettoyer_données[[#This Row],[Extraction]])-FIND("/",_21.Nettoyer_données[[#This Row],[Extraction]])))-1),RIGHT(_21.Nettoyer_données[[#This Row],[Extraction]],LEN(_21.Nettoyer_données[[#This Row],[Extraction]])-FIND("/",_21.Nettoyer_données[[#This Row],[Extraction]])))</f>
        <v>Douglas</v>
      </c>
      <c r="J37" s="14" t="str">
        <f>_21.Nettoyer_données[[#This Row],[Excel &lt; 2021
Nom]]&amp;" "&amp;_21.Nettoyer_données[[#This Row],[Excel &lt; 2021
Prénom]]</f>
        <v>OCHOCOLA Douglas</v>
      </c>
    </row>
    <row r="38" spans="1:10">
      <c r="A38" s="5" t="s">
        <v>152</v>
      </c>
      <c r="B38" s="6"/>
      <c r="C38" s="6"/>
      <c r="D38" s="9"/>
      <c r="E38" s="44" t="str">
        <f>_xlfn.TEXTBEFORE(_21.Nettoyer_données[[#This Row],[Extraction]],"/")</f>
        <v>OCHOCOLA</v>
      </c>
      <c r="F38" s="13" t="str">
        <f>IFERROR(_xlfn.TEXTBEFORE(_xlfn.TEXTAFTER(_21.Nettoyer_données[[#This Row],[Extraction]],"/")," "),_xlfn.TEXTAFTER(_21.Nettoyer_données[[#This Row],[Extraction]],"/"))</f>
        <v>Douglas</v>
      </c>
      <c r="G38" s="13" t="str">
        <f>_21.Nettoyer_données[[#This Row],[Correction
Nom]]&amp;" "&amp;_21.Nettoyer_données[[#This Row],[Correction
Prénom]]</f>
        <v>OCHOCOLA Douglas</v>
      </c>
      <c r="H38" s="14" t="str">
        <f>LEFT(_21.Nettoyer_données[[#This Row],[Extraction]],FIND("/",_21.Nettoyer_données[[#This Row],[Extraction]])-1)</f>
        <v>OCHOCOLA</v>
      </c>
      <c r="I38" s="14" t="str">
        <f>IFERROR(LEFT(RIGHT(_21.Nettoyer_données[[#This Row],[Extraction]],LEN(_21.Nettoyer_données[[#This Row],[Extraction]])-FIND("/",_21.Nettoyer_données[[#This Row],[Extraction]])),FIND(" ",RIGHT(_21.Nettoyer_données[[#This Row],[Extraction]],LEN(_21.Nettoyer_données[[#This Row],[Extraction]])-FIND("/",_21.Nettoyer_données[[#This Row],[Extraction]])))-1),RIGHT(_21.Nettoyer_données[[#This Row],[Extraction]],LEN(_21.Nettoyer_données[[#This Row],[Extraction]])-FIND("/",_21.Nettoyer_données[[#This Row],[Extraction]])))</f>
        <v>Douglas</v>
      </c>
      <c r="J38" s="14" t="str">
        <f>_21.Nettoyer_données[[#This Row],[Excel &lt; 2021
Nom]]&amp;" "&amp;_21.Nettoyer_données[[#This Row],[Excel &lt; 2021
Prénom]]</f>
        <v>OCHOCOLA Douglas</v>
      </c>
    </row>
    <row r="39" spans="1:10">
      <c r="A39" s="5" t="s">
        <v>176</v>
      </c>
      <c r="B39" s="6"/>
      <c r="C39" s="6"/>
      <c r="D39" s="9"/>
      <c r="E39" s="44" t="str">
        <f>_xlfn.TEXTBEFORE(_21.Nettoyer_données[[#This Row],[Extraction]],"/")</f>
        <v>OTTOFRAISE</v>
      </c>
      <c r="F39" s="13" t="str">
        <f>IFERROR(_xlfn.TEXTBEFORE(_xlfn.TEXTAFTER(_21.Nettoyer_données[[#This Row],[Extraction]],"/")," "),_xlfn.TEXTAFTER(_21.Nettoyer_données[[#This Row],[Extraction]],"/"))</f>
        <v>Charles</v>
      </c>
      <c r="G39" s="13" t="str">
        <f>_21.Nettoyer_données[[#This Row],[Correction
Nom]]&amp;" "&amp;_21.Nettoyer_données[[#This Row],[Correction
Prénom]]</f>
        <v>OTTOFRAISE Charles</v>
      </c>
      <c r="H39" s="14" t="str">
        <f>LEFT(_21.Nettoyer_données[[#This Row],[Extraction]],FIND("/",_21.Nettoyer_données[[#This Row],[Extraction]])-1)</f>
        <v>OTTOFRAISE</v>
      </c>
      <c r="I39" s="14" t="str">
        <f>IFERROR(LEFT(RIGHT(_21.Nettoyer_données[[#This Row],[Extraction]],LEN(_21.Nettoyer_données[[#This Row],[Extraction]])-FIND("/",_21.Nettoyer_données[[#This Row],[Extraction]])),FIND(" ",RIGHT(_21.Nettoyer_données[[#This Row],[Extraction]],LEN(_21.Nettoyer_données[[#This Row],[Extraction]])-FIND("/",_21.Nettoyer_données[[#This Row],[Extraction]])))-1),RIGHT(_21.Nettoyer_données[[#This Row],[Extraction]],LEN(_21.Nettoyer_données[[#This Row],[Extraction]])-FIND("/",_21.Nettoyer_données[[#This Row],[Extraction]])))</f>
        <v>Charles</v>
      </c>
      <c r="J39" s="14" t="str">
        <f>_21.Nettoyer_données[[#This Row],[Excel &lt; 2021
Nom]]&amp;" "&amp;_21.Nettoyer_données[[#This Row],[Excel &lt; 2021
Prénom]]</f>
        <v>OTTOFRAISE Charles</v>
      </c>
    </row>
    <row r="40" spans="1:10">
      <c r="A40" s="5" t="s">
        <v>153</v>
      </c>
      <c r="B40" s="6"/>
      <c r="C40" s="6"/>
      <c r="D40" s="9"/>
      <c r="E40" s="44" t="str">
        <f>_xlfn.TEXTBEFORE(_21.Nettoyer_données[[#This Row],[Extraction]],"/")</f>
        <v>OTTOFRAISE</v>
      </c>
      <c r="F40" s="13" t="str">
        <f>IFERROR(_xlfn.TEXTBEFORE(_xlfn.TEXTAFTER(_21.Nettoyer_données[[#This Row],[Extraction]],"/")," "),_xlfn.TEXTAFTER(_21.Nettoyer_données[[#This Row],[Extraction]],"/"))</f>
        <v>Charles</v>
      </c>
      <c r="G40" s="13" t="str">
        <f>_21.Nettoyer_données[[#This Row],[Correction
Nom]]&amp;" "&amp;_21.Nettoyer_données[[#This Row],[Correction
Prénom]]</f>
        <v>OTTOFRAISE Charles</v>
      </c>
      <c r="H40" s="14" t="str">
        <f>LEFT(_21.Nettoyer_données[[#This Row],[Extraction]],FIND("/",_21.Nettoyer_données[[#This Row],[Extraction]])-1)</f>
        <v>OTTOFRAISE</v>
      </c>
      <c r="I40" s="14" t="str">
        <f>IFERROR(LEFT(RIGHT(_21.Nettoyer_données[[#This Row],[Extraction]],LEN(_21.Nettoyer_données[[#This Row],[Extraction]])-FIND("/",_21.Nettoyer_données[[#This Row],[Extraction]])),FIND(" ",RIGHT(_21.Nettoyer_données[[#This Row],[Extraction]],LEN(_21.Nettoyer_données[[#This Row],[Extraction]])-FIND("/",_21.Nettoyer_données[[#This Row],[Extraction]])))-1),RIGHT(_21.Nettoyer_données[[#This Row],[Extraction]],LEN(_21.Nettoyer_données[[#This Row],[Extraction]])-FIND("/",_21.Nettoyer_données[[#This Row],[Extraction]])))</f>
        <v>Charles</v>
      </c>
      <c r="J40" s="14" t="str">
        <f>_21.Nettoyer_données[[#This Row],[Excel &lt; 2021
Nom]]&amp;" "&amp;_21.Nettoyer_données[[#This Row],[Excel &lt; 2021
Prénom]]</f>
        <v>OTTOFRAISE Charles</v>
      </c>
    </row>
    <row r="41" spans="1:10">
      <c r="A41" s="5" t="s">
        <v>177</v>
      </c>
      <c r="B41" s="6"/>
      <c r="C41" s="6"/>
      <c r="D41" s="9"/>
      <c r="E41" s="44" t="str">
        <f>_xlfn.TEXTBEFORE(_21.Nettoyer_données[[#This Row],[Extraction]],"/")</f>
        <v>OTTOFRAISE</v>
      </c>
      <c r="F41" s="13" t="str">
        <f>IFERROR(_xlfn.TEXTBEFORE(_xlfn.TEXTAFTER(_21.Nettoyer_données[[#This Row],[Extraction]],"/")," "),_xlfn.TEXTAFTER(_21.Nettoyer_données[[#This Row],[Extraction]],"/"))</f>
        <v>Charles</v>
      </c>
      <c r="G41" s="13" t="str">
        <f>_21.Nettoyer_données[[#This Row],[Correction
Nom]]&amp;" "&amp;_21.Nettoyer_données[[#This Row],[Correction
Prénom]]</f>
        <v>OTTOFRAISE Charles</v>
      </c>
      <c r="H41" s="14" t="str">
        <f>LEFT(_21.Nettoyer_données[[#This Row],[Extraction]],FIND("/",_21.Nettoyer_données[[#This Row],[Extraction]])-1)</f>
        <v>OTTOFRAISE</v>
      </c>
      <c r="I41" s="14" t="str">
        <f>IFERROR(LEFT(RIGHT(_21.Nettoyer_données[[#This Row],[Extraction]],LEN(_21.Nettoyer_données[[#This Row],[Extraction]])-FIND("/",_21.Nettoyer_données[[#This Row],[Extraction]])),FIND(" ",RIGHT(_21.Nettoyer_données[[#This Row],[Extraction]],LEN(_21.Nettoyer_données[[#This Row],[Extraction]])-FIND("/",_21.Nettoyer_données[[#This Row],[Extraction]])))-1),RIGHT(_21.Nettoyer_données[[#This Row],[Extraction]],LEN(_21.Nettoyer_données[[#This Row],[Extraction]])-FIND("/",_21.Nettoyer_données[[#This Row],[Extraction]])))</f>
        <v>Charles</v>
      </c>
      <c r="J41" s="14" t="str">
        <f>_21.Nettoyer_données[[#This Row],[Excel &lt; 2021
Nom]]&amp;" "&amp;_21.Nettoyer_données[[#This Row],[Excel &lt; 2021
Prénom]]</f>
        <v>OTTOFRAISE Charles</v>
      </c>
    </row>
    <row r="42" spans="1:10">
      <c r="A42" s="5" t="s">
        <v>178</v>
      </c>
      <c r="B42" s="6"/>
      <c r="C42" s="6"/>
      <c r="D42" s="9"/>
      <c r="E42" s="44" t="str">
        <f>_xlfn.TEXTBEFORE(_21.Nettoyer_données[[#This Row],[Extraction]],"/")</f>
        <v>POLAIRE</v>
      </c>
      <c r="F42" s="13" t="str">
        <f>IFERROR(_xlfn.TEXTBEFORE(_xlfn.TEXTAFTER(_21.Nettoyer_données[[#This Row],[Extraction]],"/")," "),_xlfn.TEXTAFTER(_21.Nettoyer_données[[#This Row],[Extraction]],"/"))</f>
        <v>Aurore</v>
      </c>
      <c r="G42" s="13" t="str">
        <f>_21.Nettoyer_données[[#This Row],[Correction
Nom]]&amp;" "&amp;_21.Nettoyer_données[[#This Row],[Correction
Prénom]]</f>
        <v>POLAIRE Aurore</v>
      </c>
      <c r="H42" s="14" t="str">
        <f>LEFT(_21.Nettoyer_données[[#This Row],[Extraction]],FIND("/",_21.Nettoyer_données[[#This Row],[Extraction]])-1)</f>
        <v>POLAIRE</v>
      </c>
      <c r="I42" s="14" t="str">
        <f>IFERROR(LEFT(RIGHT(_21.Nettoyer_données[[#This Row],[Extraction]],LEN(_21.Nettoyer_données[[#This Row],[Extraction]])-FIND("/",_21.Nettoyer_données[[#This Row],[Extraction]])),FIND(" ",RIGHT(_21.Nettoyer_données[[#This Row],[Extraction]],LEN(_21.Nettoyer_données[[#This Row],[Extraction]])-FIND("/",_21.Nettoyer_données[[#This Row],[Extraction]])))-1),RIGHT(_21.Nettoyer_données[[#This Row],[Extraction]],LEN(_21.Nettoyer_données[[#This Row],[Extraction]])-FIND("/",_21.Nettoyer_données[[#This Row],[Extraction]])))</f>
        <v>Aurore</v>
      </c>
      <c r="J42" s="14" t="str">
        <f>_21.Nettoyer_données[[#This Row],[Excel &lt; 2021
Nom]]&amp;" "&amp;_21.Nettoyer_données[[#This Row],[Excel &lt; 2021
Prénom]]</f>
        <v>POLAIRE Aurore</v>
      </c>
    </row>
    <row r="43" spans="1:10">
      <c r="A43" s="5" t="s">
        <v>154</v>
      </c>
      <c r="B43" s="6"/>
      <c r="C43" s="6"/>
      <c r="D43" s="9"/>
      <c r="E43" s="44" t="str">
        <f>_xlfn.TEXTBEFORE(_21.Nettoyer_données[[#This Row],[Extraction]],"/")</f>
        <v>SILLA</v>
      </c>
      <c r="F43" s="13" t="str">
        <f>IFERROR(_xlfn.TEXTBEFORE(_xlfn.TEXTAFTER(_21.Nettoyer_données[[#This Row],[Extraction]],"/")," "),_xlfn.TEXTAFTER(_21.Nettoyer_données[[#This Row],[Extraction]],"/"))</f>
        <v>Eddy</v>
      </c>
      <c r="G43" s="13" t="str">
        <f>_21.Nettoyer_données[[#This Row],[Correction
Nom]]&amp;" "&amp;_21.Nettoyer_données[[#This Row],[Correction
Prénom]]</f>
        <v>SILLA Eddy</v>
      </c>
      <c r="H43" s="14" t="str">
        <f>LEFT(_21.Nettoyer_données[[#This Row],[Extraction]],FIND("/",_21.Nettoyer_données[[#This Row],[Extraction]])-1)</f>
        <v>SILLA</v>
      </c>
      <c r="I43" s="14" t="str">
        <f>IFERROR(LEFT(RIGHT(_21.Nettoyer_données[[#This Row],[Extraction]],LEN(_21.Nettoyer_données[[#This Row],[Extraction]])-FIND("/",_21.Nettoyer_données[[#This Row],[Extraction]])),FIND(" ",RIGHT(_21.Nettoyer_données[[#This Row],[Extraction]],LEN(_21.Nettoyer_données[[#This Row],[Extraction]])-FIND("/",_21.Nettoyer_données[[#This Row],[Extraction]])))-1),RIGHT(_21.Nettoyer_données[[#This Row],[Extraction]],LEN(_21.Nettoyer_données[[#This Row],[Extraction]])-FIND("/",_21.Nettoyer_données[[#This Row],[Extraction]])))</f>
        <v>Eddy</v>
      </c>
      <c r="J43" s="14" t="str">
        <f>_21.Nettoyer_données[[#This Row],[Excel &lt; 2021
Nom]]&amp;" "&amp;_21.Nettoyer_données[[#This Row],[Excel &lt; 2021
Prénom]]</f>
        <v>SILLA Eddy</v>
      </c>
    </row>
    <row r="44" spans="1:10">
      <c r="A44" s="5" t="s">
        <v>179</v>
      </c>
      <c r="B44" s="6"/>
      <c r="C44" s="6"/>
      <c r="D44" s="9"/>
      <c r="E44" s="44" t="str">
        <f>_xlfn.TEXTBEFORE(_21.Nettoyer_données[[#This Row],[Extraction]],"/")</f>
        <v>STÉROLE</v>
      </c>
      <c r="F44" s="13" t="str">
        <f>IFERROR(_xlfn.TEXTBEFORE(_xlfn.TEXTAFTER(_21.Nettoyer_données[[#This Row],[Extraction]],"/")," "),_xlfn.TEXTAFTER(_21.Nettoyer_données[[#This Row],[Extraction]],"/"))</f>
        <v>Colette</v>
      </c>
      <c r="G44" s="13" t="str">
        <f>_21.Nettoyer_données[[#This Row],[Correction
Nom]]&amp;" "&amp;_21.Nettoyer_données[[#This Row],[Correction
Prénom]]</f>
        <v>STÉROLE Colette</v>
      </c>
      <c r="H44" s="14" t="str">
        <f>LEFT(_21.Nettoyer_données[[#This Row],[Extraction]],FIND("/",_21.Nettoyer_données[[#This Row],[Extraction]])-1)</f>
        <v>STÉROLE</v>
      </c>
      <c r="I44" s="14" t="str">
        <f>IFERROR(LEFT(RIGHT(_21.Nettoyer_données[[#This Row],[Extraction]],LEN(_21.Nettoyer_données[[#This Row],[Extraction]])-FIND("/",_21.Nettoyer_données[[#This Row],[Extraction]])),FIND(" ",RIGHT(_21.Nettoyer_données[[#This Row],[Extraction]],LEN(_21.Nettoyer_données[[#This Row],[Extraction]])-FIND("/",_21.Nettoyer_données[[#This Row],[Extraction]])))-1),RIGHT(_21.Nettoyer_données[[#This Row],[Extraction]],LEN(_21.Nettoyer_données[[#This Row],[Extraction]])-FIND("/",_21.Nettoyer_données[[#This Row],[Extraction]])))</f>
        <v>Colette</v>
      </c>
      <c r="J44" s="14" t="str">
        <f>_21.Nettoyer_données[[#This Row],[Excel &lt; 2021
Nom]]&amp;" "&amp;_21.Nettoyer_données[[#This Row],[Excel &lt; 2021
Prénom]]</f>
        <v>STÉROLE Colette</v>
      </c>
    </row>
    <row r="45" spans="1:10">
      <c r="A45" s="5" t="s">
        <v>180</v>
      </c>
      <c r="B45" s="6"/>
      <c r="C45" s="6"/>
      <c r="D45" s="9"/>
      <c r="E45" s="44" t="str">
        <f>_xlfn.TEXTBEFORE(_21.Nettoyer_données[[#This Row],[Extraction]],"/")</f>
        <v>VERSAIRE</v>
      </c>
      <c r="F45" s="13" t="str">
        <f>IFERROR(_xlfn.TEXTBEFORE(_xlfn.TEXTAFTER(_21.Nettoyer_données[[#This Row],[Extraction]],"/")," "),_xlfn.TEXTAFTER(_21.Nettoyer_données[[#This Row],[Extraction]],"/"))</f>
        <v>Annie</v>
      </c>
      <c r="G45" s="13" t="str">
        <f>_21.Nettoyer_données[[#This Row],[Correction
Nom]]&amp;" "&amp;_21.Nettoyer_données[[#This Row],[Correction
Prénom]]</f>
        <v>VERSAIRE Annie</v>
      </c>
      <c r="H45" s="14" t="str">
        <f>LEFT(_21.Nettoyer_données[[#This Row],[Extraction]],FIND("/",_21.Nettoyer_données[[#This Row],[Extraction]])-1)</f>
        <v>VERSAIRE</v>
      </c>
      <c r="I45" s="14" t="str">
        <f>IFERROR(LEFT(RIGHT(_21.Nettoyer_données[[#This Row],[Extraction]],LEN(_21.Nettoyer_données[[#This Row],[Extraction]])-FIND("/",_21.Nettoyer_données[[#This Row],[Extraction]])),FIND(" ",RIGHT(_21.Nettoyer_données[[#This Row],[Extraction]],LEN(_21.Nettoyer_données[[#This Row],[Extraction]])-FIND("/",_21.Nettoyer_données[[#This Row],[Extraction]])))-1),RIGHT(_21.Nettoyer_données[[#This Row],[Extraction]],LEN(_21.Nettoyer_données[[#This Row],[Extraction]])-FIND("/",_21.Nettoyer_données[[#This Row],[Extraction]])))</f>
        <v>Annie</v>
      </c>
      <c r="J45" s="14" t="str">
        <f>_21.Nettoyer_données[[#This Row],[Excel &lt; 2021
Nom]]&amp;" "&amp;_21.Nettoyer_données[[#This Row],[Excel &lt; 2021
Prénom]]</f>
        <v>VERSAIRE Annie</v>
      </c>
    </row>
  </sheetData>
  <pageMargins left="0.7" right="0.7" top="0.75" bottom="0.75" header="0.3" footer="0.3"/>
  <pageSetup paperSize="9" orientation="portrait" horizontalDpi="90" verticalDpi="90"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88247-6A81-4746-9B37-AD6DE281F4B1}">
  <sheetPr>
    <tabColor theme="7" tint="0.79998168889431442"/>
  </sheetPr>
  <dimension ref="A1:A24"/>
  <sheetViews>
    <sheetView showGridLines="0" workbookViewId="0">
      <selection activeCell="F27" sqref="F27"/>
    </sheetView>
  </sheetViews>
  <sheetFormatPr baseColWidth="10" defaultColWidth="12.109375" defaultRowHeight="14.4"/>
  <cols>
    <col min="1" max="1" width="80.77734375" style="1" customWidth="1"/>
    <col min="2" max="16384" width="12.109375" style="1"/>
  </cols>
  <sheetData>
    <row r="1" spans="1:1">
      <c r="A1" s="29" t="s">
        <v>132</v>
      </c>
    </row>
    <row r="2" spans="1:1">
      <c r="A2" s="95" t="s">
        <v>1121</v>
      </c>
    </row>
    <row r="4" spans="1:1">
      <c r="A4" s="1" t="s">
        <v>181</v>
      </c>
    </row>
    <row r="5" spans="1:1">
      <c r="A5" s="5" t="s">
        <v>310</v>
      </c>
    </row>
    <row r="6" spans="1:1">
      <c r="A6" s="5" t="s">
        <v>312</v>
      </c>
    </row>
    <row r="7" spans="1:1">
      <c r="A7" s="5" t="s">
        <v>313</v>
      </c>
    </row>
    <row r="8" spans="1:1">
      <c r="A8" s="5" t="s">
        <v>314</v>
      </c>
    </row>
    <row r="9" spans="1:1">
      <c r="A9" s="5" t="s">
        <v>315</v>
      </c>
    </row>
    <row r="10" spans="1:1">
      <c r="A10" s="5" t="s">
        <v>311</v>
      </c>
    </row>
    <row r="11" spans="1:1">
      <c r="A11" s="5" t="s">
        <v>325</v>
      </c>
    </row>
    <row r="12" spans="1:1">
      <c r="A12" s="5" t="s">
        <v>316</v>
      </c>
    </row>
    <row r="13" spans="1:1">
      <c r="A13" s="5" t="s">
        <v>317</v>
      </c>
    </row>
    <row r="14" spans="1:1">
      <c r="A14" s="5" t="s">
        <v>318</v>
      </c>
    </row>
    <row r="15" spans="1:1">
      <c r="A15" s="5" t="s">
        <v>319</v>
      </c>
    </row>
    <row r="16" spans="1:1">
      <c r="A16" s="5" t="s">
        <v>320</v>
      </c>
    </row>
    <row r="17" spans="1:1">
      <c r="A17" s="5" t="s">
        <v>321</v>
      </c>
    </row>
    <row r="18" spans="1:1">
      <c r="A18" s="5" t="s">
        <v>322</v>
      </c>
    </row>
    <row r="19" spans="1:1">
      <c r="A19" s="5" t="s">
        <v>323</v>
      </c>
    </row>
    <row r="20" spans="1:1">
      <c r="A20" s="5" t="s">
        <v>324</v>
      </c>
    </row>
    <row r="21" spans="1:1">
      <c r="A21" s="5" t="s">
        <v>326</v>
      </c>
    </row>
    <row r="22" spans="1:1">
      <c r="A22" s="5" t="s">
        <v>328</v>
      </c>
    </row>
    <row r="23" spans="1:1">
      <c r="A23" s="5" t="s">
        <v>327</v>
      </c>
    </row>
    <row r="24" spans="1:1">
      <c r="A24" s="5" t="s">
        <v>329</v>
      </c>
    </row>
  </sheetData>
  <pageMargins left="0.7" right="0.7" top="0.75" bottom="0.75" header="0.3" footer="0.3"/>
  <pageSetup paperSize="9" orientation="portrait" horizontalDpi="90" verticalDpi="90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9860db96-b53f-4bd7-8137-e09357cab268}" enabled="1" method="Standard" siteId="{b78d03e6-f6a2-4cff-83be-847d1a6453f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22</vt:i4>
      </vt:variant>
    </vt:vector>
  </HeadingPairs>
  <TitlesOfParts>
    <vt:vector size="22" baseType="lpstr">
      <vt:lpstr>1.TCD avancé</vt:lpstr>
      <vt:lpstr>2.Créer des relations (TCD)</vt:lpstr>
      <vt:lpstr>3.RECHERCHEX dans Power Query</vt:lpstr>
      <vt:lpstr>1. Hiérarchiser données</vt:lpstr>
      <vt:lpstr>2. Recherche approximative</vt:lpstr>
      <vt:lpstr>5.Filtrer par tranches</vt:lpstr>
      <vt:lpstr>7.Lister nouvelles données</vt:lpstr>
      <vt:lpstr>3. Recherche imbriquée</vt:lpstr>
      <vt:lpstr>9.INDEX + EQUIVX (1)</vt:lpstr>
      <vt:lpstr>10.INDEX + EQUIVX (2)</vt:lpstr>
      <vt:lpstr>4. Supprimer lignes vides</vt:lpstr>
      <vt:lpstr>12.Lister données uniques</vt:lpstr>
      <vt:lpstr>5. Identifier les doublons</vt:lpstr>
      <vt:lpstr>14.Calculer des heures</vt:lpstr>
      <vt:lpstr>6. SOMMEPROD</vt:lpstr>
      <vt:lpstr>7. .Moyenne pondérée</vt:lpstr>
      <vt:lpstr>8. SOMME cumulée</vt:lpstr>
      <vt:lpstr>18.Calculer ce qui contient</vt:lpstr>
      <vt:lpstr>9. SI contient</vt:lpstr>
      <vt:lpstr>20.Créer une adresse mail</vt:lpstr>
      <vt:lpstr>21.Nettoyer les données</vt:lpstr>
      <vt:lpstr>22.Séparer chiffres et lettres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Parent</dc:creator>
  <cp:lastModifiedBy>NDOUNTHENG Freddy (EXT)</cp:lastModifiedBy>
  <cp:lastPrinted>2025-10-26T17:35:50Z</cp:lastPrinted>
  <dcterms:created xsi:type="dcterms:W3CDTF">2015-06-05T18:19:34Z</dcterms:created>
  <dcterms:modified xsi:type="dcterms:W3CDTF">2026-03-27T13:48:20Z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3a33b84-80ad-42de-a720-6b5d1b5c8fd5_Enabled">
    <vt:lpwstr>true</vt:lpwstr>
  </property>
  <property fmtid="{D5CDD505-2E9C-101B-9397-08002B2CF9AE}" pid="3" name="MSIP_Label_13a33b84-80ad-42de-a720-6b5d1b5c8fd5_SetDate">
    <vt:lpwstr>2026-03-27T13:48:20Z</vt:lpwstr>
  </property>
  <property fmtid="{D5CDD505-2E9C-101B-9397-08002B2CF9AE}" pid="4" name="MSIP_Label_13a33b84-80ad-42de-a720-6b5d1b5c8fd5_Method">
    <vt:lpwstr>Standard</vt:lpwstr>
  </property>
  <property fmtid="{D5CDD505-2E9C-101B-9397-08002B2CF9AE}" pid="5" name="MSIP_Label_13a33b84-80ad-42de-a720-6b5d1b5c8fd5_Name">
    <vt:lpwstr>Interne</vt:lpwstr>
  </property>
  <property fmtid="{D5CDD505-2E9C-101B-9397-08002B2CF9AE}" pid="6" name="MSIP_Label_13a33b84-80ad-42de-a720-6b5d1b5c8fd5_SiteId">
    <vt:lpwstr>6113e532-f814-4bb9-ae61-898381e45aec</vt:lpwstr>
  </property>
  <property fmtid="{D5CDD505-2E9C-101B-9397-08002B2CF9AE}" pid="7" name="MSIP_Label_13a33b84-80ad-42de-a720-6b5d1b5c8fd5_ActionId">
    <vt:lpwstr>5d431283-3b35-44ca-959d-3b1dec9a28be</vt:lpwstr>
  </property>
  <property fmtid="{D5CDD505-2E9C-101B-9397-08002B2CF9AE}" pid="8" name="MSIP_Label_13a33b84-80ad-42de-a720-6b5d1b5c8fd5_ContentBits">
    <vt:lpwstr>0</vt:lpwstr>
  </property>
  <property fmtid="{D5CDD505-2E9C-101B-9397-08002B2CF9AE}" pid="9" name="MSIP_Label_13a33b84-80ad-42de-a720-6b5d1b5c8fd5_Tag">
    <vt:lpwstr>10, 3, 0, 1</vt:lpwstr>
  </property>
</Properties>
</file>